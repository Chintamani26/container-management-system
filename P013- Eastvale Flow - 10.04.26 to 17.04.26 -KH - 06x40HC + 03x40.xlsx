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-108" yWindow="-108" windowWidth="23256" windowHeight="12456"/>
  </bookViews>
  <sheets>
    <sheet name="Sheet1" sheetId="1" r:id="rId1"/>
    <sheet name="CLR format" sheetId="5" r:id="rId2"/>
    <sheet name="S-sheet" sheetId="4" state="hidden" r:id="rId3"/>
  </sheets>
  <externalReferences>
    <externalReference r:id="rId4"/>
  </externalReferences>
  <definedNames>
    <definedName name="_">#REF!</definedName>
    <definedName name="_xlnm._FilterDatabase" localSheetId="1" hidden="1">'CLR format'!$A$5:$Z$15</definedName>
    <definedName name="_xlnm._FilterDatabase" localSheetId="0" hidden="1">Sheet1!$A$1:$Y$16</definedName>
    <definedName name="Excel_BuiltIn__FilterDatabase_1_2">#REF!</definedName>
    <definedName name="Excel_BuiltIn__FilterDatabase_1_3">#REF!</definedName>
    <definedName name="Excel_BuiltIn__FilterDatabase_1_4">#REF!</definedName>
    <definedName name="Excel_BuiltIn__FilterDatabase_2">#REF!</definedName>
    <definedName name="Excel_BuiltIn_Print_Area_1">#REF!</definedName>
    <definedName name="F">#REF!</definedName>
    <definedName name="HHHHHHHH">#REF!</definedName>
    <definedName name="RAJESH">#REF!</definedName>
    <definedName name="RAJESHR">#REF!</definedName>
    <definedName name="Upper">[1]Factories!$O$2:$O$18</definedName>
    <definedName name="Vendors">[1]Factories!$A$1:$A$20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7" i="5" l="1"/>
  <c r="L57" i="5"/>
  <c r="K57" i="5"/>
  <c r="N56" i="5"/>
  <c r="M56" i="5"/>
  <c r="L56" i="5"/>
  <c r="K56" i="5"/>
  <c r="J56" i="5"/>
  <c r="I56" i="5"/>
  <c r="N55" i="5"/>
  <c r="M55" i="5"/>
  <c r="L55" i="5"/>
  <c r="K55" i="5"/>
  <c r="J55" i="5"/>
  <c r="I55" i="5"/>
  <c r="N54" i="5"/>
  <c r="M54" i="5"/>
  <c r="L54" i="5"/>
  <c r="K54" i="5"/>
  <c r="J54" i="5"/>
  <c r="I54" i="5"/>
  <c r="N53" i="5"/>
  <c r="M53" i="5"/>
  <c r="L53" i="5"/>
  <c r="K53" i="5"/>
  <c r="J53" i="5"/>
  <c r="I53" i="5"/>
  <c r="N52" i="5"/>
  <c r="M52" i="5"/>
  <c r="L52" i="5"/>
  <c r="K52" i="5"/>
  <c r="J52" i="5"/>
  <c r="I52" i="5"/>
  <c r="M50" i="5"/>
  <c r="L50" i="5"/>
  <c r="K50" i="5"/>
  <c r="N49" i="5"/>
  <c r="M49" i="5"/>
  <c r="L49" i="5"/>
  <c r="K49" i="5"/>
  <c r="J49" i="5"/>
  <c r="I49" i="5"/>
  <c r="N48" i="5"/>
  <c r="M48" i="5"/>
  <c r="L48" i="5"/>
  <c r="K48" i="5"/>
  <c r="J48" i="5"/>
  <c r="I48" i="5"/>
  <c r="M46" i="5"/>
  <c r="L46" i="5"/>
  <c r="K46" i="5"/>
  <c r="N45" i="5"/>
  <c r="M45" i="5"/>
  <c r="L45" i="5"/>
  <c r="K45" i="5"/>
  <c r="J45" i="5"/>
  <c r="I45" i="5"/>
  <c r="N44" i="5"/>
  <c r="M44" i="5"/>
  <c r="L44" i="5"/>
  <c r="K44" i="5"/>
  <c r="J44" i="5"/>
  <c r="I44" i="5"/>
  <c r="N43" i="5"/>
  <c r="M43" i="5"/>
  <c r="L43" i="5"/>
  <c r="K43" i="5"/>
  <c r="J43" i="5"/>
  <c r="I43" i="5"/>
  <c r="N42" i="5"/>
  <c r="M42" i="5"/>
  <c r="L42" i="5"/>
  <c r="K42" i="5"/>
  <c r="J42" i="5"/>
  <c r="I42" i="5"/>
  <c r="N41" i="5"/>
  <c r="M41" i="5"/>
  <c r="L41" i="5"/>
  <c r="K41" i="5"/>
  <c r="J41" i="5"/>
  <c r="I41" i="5"/>
  <c r="M39" i="5"/>
  <c r="L39" i="5"/>
  <c r="K39" i="5"/>
  <c r="N38" i="5"/>
  <c r="M38" i="5"/>
  <c r="L38" i="5"/>
  <c r="K38" i="5"/>
  <c r="J38" i="5"/>
  <c r="I38" i="5"/>
  <c r="N37" i="5"/>
  <c r="M37" i="5"/>
  <c r="L37" i="5"/>
  <c r="K37" i="5"/>
  <c r="J37" i="5"/>
  <c r="I37" i="5"/>
  <c r="N36" i="5"/>
  <c r="M36" i="5"/>
  <c r="L36" i="5"/>
  <c r="K36" i="5"/>
  <c r="J36" i="5"/>
  <c r="I36" i="5"/>
  <c r="N35" i="5"/>
  <c r="M35" i="5"/>
  <c r="L35" i="5"/>
  <c r="K35" i="5"/>
  <c r="J35" i="5"/>
  <c r="I35" i="5"/>
  <c r="N34" i="5"/>
  <c r="M34" i="5"/>
  <c r="L34" i="5"/>
  <c r="K34" i="5"/>
  <c r="J34" i="5"/>
  <c r="I34" i="5"/>
  <c r="M32" i="5"/>
  <c r="L32" i="5"/>
  <c r="K32" i="5"/>
  <c r="N31" i="5"/>
  <c r="M31" i="5"/>
  <c r="L31" i="5"/>
  <c r="K31" i="5"/>
  <c r="J31" i="5"/>
  <c r="I31" i="5"/>
  <c r="N30" i="5"/>
  <c r="M30" i="5"/>
  <c r="L30" i="5"/>
  <c r="K30" i="5"/>
  <c r="J30" i="5"/>
  <c r="I30" i="5"/>
  <c r="M28" i="5"/>
  <c r="L28" i="5"/>
  <c r="K28" i="5"/>
  <c r="N27" i="5"/>
  <c r="M27" i="5"/>
  <c r="L27" i="5"/>
  <c r="K27" i="5"/>
  <c r="J27" i="5"/>
  <c r="I27" i="5"/>
  <c r="N26" i="5"/>
  <c r="M26" i="5"/>
  <c r="L26" i="5"/>
  <c r="K26" i="5"/>
  <c r="J26" i="5"/>
  <c r="I26" i="5"/>
  <c r="N25" i="5"/>
  <c r="M25" i="5"/>
  <c r="L25" i="5"/>
  <c r="K25" i="5"/>
  <c r="J25" i="5"/>
  <c r="I25" i="5"/>
  <c r="N24" i="5"/>
  <c r="M24" i="5"/>
  <c r="L24" i="5"/>
  <c r="K24" i="5"/>
  <c r="J24" i="5"/>
  <c r="I24" i="5"/>
  <c r="M22" i="5"/>
  <c r="L22" i="5"/>
  <c r="K22" i="5"/>
  <c r="N21" i="5"/>
  <c r="M21" i="5"/>
  <c r="L21" i="5"/>
  <c r="K21" i="5"/>
  <c r="J21" i="5"/>
  <c r="I21" i="5"/>
  <c r="N20" i="5"/>
  <c r="M20" i="5"/>
  <c r="L20" i="5"/>
  <c r="K20" i="5"/>
  <c r="J20" i="5"/>
  <c r="I20" i="5"/>
  <c r="N19" i="5"/>
  <c r="M19" i="5"/>
  <c r="L19" i="5"/>
  <c r="K19" i="5"/>
  <c r="J19" i="5"/>
  <c r="I19" i="5"/>
  <c r="N18" i="5"/>
  <c r="M18" i="5"/>
  <c r="L18" i="5"/>
  <c r="K18" i="5"/>
  <c r="J18" i="5"/>
  <c r="I18" i="5"/>
  <c r="M16" i="5"/>
  <c r="L16" i="5"/>
  <c r="K16" i="5"/>
  <c r="N15" i="5"/>
  <c r="M15" i="5"/>
  <c r="L15" i="5"/>
  <c r="K15" i="5"/>
  <c r="J15" i="5"/>
  <c r="I15" i="5"/>
  <c r="N14" i="5"/>
  <c r="M14" i="5"/>
  <c r="L14" i="5"/>
  <c r="K14" i="5"/>
  <c r="J14" i="5"/>
  <c r="I14" i="5"/>
  <c r="N13" i="5"/>
  <c r="M13" i="5"/>
  <c r="L13" i="5"/>
  <c r="K13" i="5"/>
  <c r="J13" i="5"/>
  <c r="I13" i="5"/>
  <c r="N12" i="5"/>
  <c r="M12" i="5"/>
  <c r="L12" i="5"/>
  <c r="K12" i="5"/>
  <c r="J12" i="5"/>
  <c r="I12" i="5"/>
  <c r="M10" i="5"/>
  <c r="L10" i="5"/>
  <c r="K10" i="5"/>
  <c r="N9" i="5"/>
  <c r="M9" i="5"/>
  <c r="L9" i="5"/>
  <c r="K9" i="5"/>
  <c r="J9" i="5"/>
  <c r="I9" i="5"/>
  <c r="N8" i="5"/>
  <c r="M8" i="5"/>
  <c r="L8" i="5"/>
  <c r="K8" i="5"/>
  <c r="J8" i="5"/>
  <c r="I8" i="5"/>
  <c r="N7" i="5"/>
  <c r="M7" i="5"/>
  <c r="L7" i="5"/>
  <c r="K7" i="5"/>
  <c r="J7" i="5"/>
  <c r="I7" i="5"/>
  <c r="X56" i="1" l="1"/>
  <c r="W56" i="1"/>
  <c r="T56" i="1"/>
  <c r="M56" i="1"/>
  <c r="L56" i="1"/>
  <c r="M48" i="1"/>
  <c r="M53" i="1" s="1"/>
  <c r="M46" i="1"/>
  <c r="W48" i="1"/>
  <c r="W53" i="1" s="1"/>
  <c r="T48" i="1"/>
  <c r="T53" i="1" s="1"/>
  <c r="L48" i="1"/>
  <c r="L53" i="1" s="1"/>
  <c r="M44" i="1"/>
  <c r="X44" i="1" s="1"/>
  <c r="M37" i="1"/>
  <c r="T37" i="1" s="1"/>
  <c r="M30" i="1"/>
  <c r="X30" i="1" s="1"/>
  <c r="M26" i="1"/>
  <c r="W26" i="1" s="1"/>
  <c r="M20" i="1"/>
  <c r="X20" i="1" s="1"/>
  <c r="M14" i="1"/>
  <c r="W14" i="1" s="1"/>
  <c r="W15" i="1"/>
  <c r="X11" i="1"/>
  <c r="W11" i="1"/>
  <c r="T11" i="1"/>
  <c r="L11" i="1"/>
  <c r="M8" i="1"/>
  <c r="X8" i="1" s="1"/>
  <c r="M6" i="1"/>
  <c r="X52" i="1"/>
  <c r="W52" i="1"/>
  <c r="X51" i="1"/>
  <c r="W51" i="1"/>
  <c r="X50" i="1"/>
  <c r="W50" i="1"/>
  <c r="X49" i="1"/>
  <c r="W49" i="1"/>
  <c r="X45" i="1"/>
  <c r="X46" i="1" s="1"/>
  <c r="W45" i="1"/>
  <c r="X41" i="1"/>
  <c r="W41" i="1"/>
  <c r="X40" i="1"/>
  <c r="W40" i="1"/>
  <c r="X39" i="1"/>
  <c r="W39" i="1"/>
  <c r="X38" i="1"/>
  <c r="W38" i="1"/>
  <c r="X34" i="1"/>
  <c r="W34" i="1"/>
  <c r="X33" i="1"/>
  <c r="W33" i="1"/>
  <c r="X32" i="1"/>
  <c r="W32" i="1"/>
  <c r="X31" i="1"/>
  <c r="W31" i="1"/>
  <c r="X27" i="1"/>
  <c r="W27" i="1"/>
  <c r="X23" i="1"/>
  <c r="W23" i="1"/>
  <c r="X22" i="1"/>
  <c r="W22" i="1"/>
  <c r="X21" i="1"/>
  <c r="W21" i="1"/>
  <c r="X17" i="1"/>
  <c r="W17" i="1"/>
  <c r="X16" i="1"/>
  <c r="W16" i="1"/>
  <c r="X15" i="1"/>
  <c r="X10" i="1"/>
  <c r="W10" i="1"/>
  <c r="X9" i="1"/>
  <c r="W9" i="1"/>
  <c r="X5" i="1"/>
  <c r="W5" i="1"/>
  <c r="X4" i="1"/>
  <c r="W4" i="1"/>
  <c r="X3" i="1"/>
  <c r="W3" i="1"/>
  <c r="T52" i="1"/>
  <c r="T51" i="1"/>
  <c r="T50" i="1"/>
  <c r="T49" i="1"/>
  <c r="T45" i="1"/>
  <c r="T41" i="1"/>
  <c r="T40" i="1"/>
  <c r="T39" i="1"/>
  <c r="T38" i="1"/>
  <c r="T34" i="1"/>
  <c r="T33" i="1"/>
  <c r="T32" i="1"/>
  <c r="T31" i="1"/>
  <c r="T27" i="1"/>
  <c r="T23" i="1"/>
  <c r="T22" i="1"/>
  <c r="T21" i="1"/>
  <c r="T17" i="1"/>
  <c r="T16" i="1"/>
  <c r="T15" i="1"/>
  <c r="T10" i="1"/>
  <c r="T9" i="1"/>
  <c r="T5" i="1"/>
  <c r="T4" i="1"/>
  <c r="T3" i="1"/>
  <c r="L52" i="1"/>
  <c r="L51" i="1"/>
  <c r="L50" i="1"/>
  <c r="L49" i="1"/>
  <c r="L45" i="1"/>
  <c r="L46" i="1" s="1"/>
  <c r="L41" i="1"/>
  <c r="L40" i="1"/>
  <c r="L39" i="1"/>
  <c r="L38" i="1"/>
  <c r="L34" i="1"/>
  <c r="L33" i="1"/>
  <c r="L32" i="1"/>
  <c r="L31" i="1"/>
  <c r="L27" i="1"/>
  <c r="L23" i="1"/>
  <c r="L22" i="1"/>
  <c r="L21" i="1"/>
  <c r="L17" i="1"/>
  <c r="L16" i="1"/>
  <c r="L15" i="1"/>
  <c r="L10" i="1"/>
  <c r="L9" i="1"/>
  <c r="L5" i="1"/>
  <c r="L4" i="1"/>
  <c r="L3" i="1"/>
  <c r="L2" i="1"/>
  <c r="X48" i="1" l="1"/>
  <c r="X53" i="1" s="1"/>
  <c r="W46" i="1"/>
  <c r="T46" i="1"/>
  <c r="M42" i="1"/>
  <c r="L44" i="1"/>
  <c r="T44" i="1"/>
  <c r="W44" i="1"/>
  <c r="T42" i="1"/>
  <c r="L37" i="1"/>
  <c r="L42" i="1" s="1"/>
  <c r="M35" i="1"/>
  <c r="X35" i="1"/>
  <c r="W37" i="1"/>
  <c r="X37" i="1"/>
  <c r="X42" i="1" s="1"/>
  <c r="W30" i="1"/>
  <c r="W35" i="1" s="1"/>
  <c r="L30" i="1"/>
  <c r="L35" i="1" s="1"/>
  <c r="M28" i="1"/>
  <c r="T30" i="1"/>
  <c r="T35" i="1" s="1"/>
  <c r="W28" i="1"/>
  <c r="L20" i="1"/>
  <c r="L24" i="1" s="1"/>
  <c r="M24" i="1"/>
  <c r="X24" i="1"/>
  <c r="L26" i="1"/>
  <c r="L28" i="1" s="1"/>
  <c r="T26" i="1"/>
  <c r="T28" i="1" s="1"/>
  <c r="X26" i="1"/>
  <c r="X28" i="1" s="1"/>
  <c r="T20" i="1"/>
  <c r="T24" i="1" s="1"/>
  <c r="M18" i="1"/>
  <c r="W18" i="1"/>
  <c r="W20" i="1"/>
  <c r="W24" i="1" s="1"/>
  <c r="L14" i="1"/>
  <c r="L18" i="1" s="1"/>
  <c r="X14" i="1"/>
  <c r="X18" i="1" s="1"/>
  <c r="T14" i="1"/>
  <c r="T18" i="1" s="1"/>
  <c r="X12" i="1"/>
  <c r="M12" i="1"/>
  <c r="L6" i="1"/>
  <c r="L8" i="1"/>
  <c r="L12" i="1" s="1"/>
  <c r="W8" i="1"/>
  <c r="T8" i="1"/>
  <c r="W42" i="1" l="1"/>
  <c r="T12" i="1"/>
  <c r="W12" i="1"/>
  <c r="N6" i="5"/>
  <c r="B3" i="5" s="1"/>
  <c r="K6" i="5"/>
  <c r="J6" i="5"/>
  <c r="I6" i="5"/>
  <c r="X2" i="1"/>
  <c r="X6" i="1" s="1"/>
  <c r="W2" i="1"/>
  <c r="W6" i="1" s="1"/>
  <c r="T2" i="1"/>
  <c r="T6" i="1" s="1"/>
  <c r="M6" i="5" l="1"/>
  <c r="L6" i="5"/>
  <c r="L27" i="4" l="1"/>
  <c r="J27" i="4"/>
  <c r="K26" i="4"/>
  <c r="L25" i="4"/>
  <c r="J25" i="4"/>
  <c r="K22" i="4"/>
  <c r="J21" i="4"/>
  <c r="L20" i="4"/>
  <c r="K20" i="4"/>
  <c r="J20" i="4"/>
  <c r="K27" i="4"/>
  <c r="L26" i="4"/>
  <c r="J26" i="4"/>
  <c r="K25" i="4"/>
  <c r="L22" i="4"/>
  <c r="J22" i="4"/>
  <c r="L21" i="4"/>
  <c r="K21" i="4"/>
  <c r="G27" i="4"/>
  <c r="I27" i="4" s="1"/>
  <c r="G26" i="4"/>
  <c r="I26" i="4" s="1"/>
  <c r="G25" i="4"/>
  <c r="I25" i="4" s="1"/>
  <c r="G22" i="4"/>
  <c r="I22" i="4" s="1"/>
  <c r="G21" i="4"/>
  <c r="I21" i="4" s="1"/>
  <c r="G20" i="4"/>
  <c r="I20" i="4" s="1"/>
  <c r="L17" i="4"/>
  <c r="K17" i="4"/>
  <c r="L16" i="4"/>
  <c r="K16" i="4"/>
  <c r="J17" i="4"/>
  <c r="J16" i="4"/>
  <c r="L12" i="4"/>
  <c r="K12" i="4"/>
  <c r="J12" i="4"/>
  <c r="L11" i="4"/>
  <c r="K11" i="4"/>
  <c r="J11" i="4"/>
  <c r="L10" i="4"/>
  <c r="K10" i="4"/>
  <c r="J10" i="4"/>
  <c r="L6" i="4"/>
  <c r="K6" i="4"/>
  <c r="J6" i="4"/>
  <c r="M21" i="4" l="1"/>
  <c r="O21" i="4" s="1"/>
  <c r="M27" i="4"/>
  <c r="O27" i="4" s="1"/>
  <c r="M25" i="4"/>
  <c r="O25" i="4" s="1"/>
  <c r="M26" i="4"/>
  <c r="O26" i="4" s="1"/>
  <c r="M22" i="4"/>
  <c r="O22" i="4" s="1"/>
  <c r="M20" i="4"/>
  <c r="O20" i="4" s="1"/>
  <c r="M17" i="4"/>
  <c r="O17" i="4" s="1"/>
  <c r="M16" i="4"/>
  <c r="O16" i="4" s="1"/>
  <c r="G17" i="4"/>
  <c r="I17" i="4" s="1"/>
  <c r="G16" i="4"/>
  <c r="I16" i="4" s="1"/>
  <c r="N31" i="4"/>
  <c r="H31" i="4"/>
  <c r="G12" i="4"/>
  <c r="I12" i="4" s="1"/>
  <c r="G11" i="4"/>
  <c r="I11" i="4" s="1"/>
  <c r="G10" i="4"/>
  <c r="I10" i="4" s="1"/>
  <c r="G6" i="4"/>
  <c r="I6" i="4" s="1"/>
  <c r="M11" i="4" l="1"/>
  <c r="O11" i="4" s="1"/>
  <c r="M12" i="4"/>
  <c r="O12" i="4" s="1"/>
  <c r="M6" i="4"/>
  <c r="O6" i="4" s="1"/>
  <c r="M10" i="4"/>
  <c r="O10" i="4" s="1"/>
  <c r="I31" i="4"/>
  <c r="M31" i="4" l="1"/>
  <c r="O31" i="4"/>
</calcChain>
</file>

<file path=xl/comments1.xml><?xml version="1.0" encoding="utf-8"?>
<comments xmlns="http://schemas.openxmlformats.org/spreadsheetml/2006/main">
  <authors>
    <author>Author</author>
  </authors>
  <commentList>
    <comment ref="E5" authorId="0">
      <text>
        <r>
          <rPr>
            <b/>
            <sz val="9"/>
            <color indexed="81"/>
            <rFont val="Tahoma"/>
            <family val="2"/>
          </rPr>
          <t>DAM015:</t>
        </r>
        <r>
          <rPr>
            <sz val="9"/>
            <color indexed="81"/>
            <rFont val="Tahoma"/>
            <family val="2"/>
          </rPr>
          <t xml:space="preserve">
Detail of the contianer RLMOM121,RLMOM411,RLMOM611</t>
        </r>
      </text>
    </comment>
    <comment ref="H5" authorId="0">
      <text>
        <r>
          <rPr>
            <b/>
            <sz val="9"/>
            <color indexed="81"/>
            <rFont val="Tahoma"/>
            <family val="2"/>
          </rPr>
          <t>DAM015:</t>
        </r>
        <r>
          <rPr>
            <sz val="9"/>
            <color indexed="81"/>
            <rFont val="Tahoma"/>
            <family val="2"/>
          </rPr>
          <t xml:space="preserve">
Cargo which is stuffed in specific container
RLMOM421</t>
        </r>
      </text>
    </comment>
    <comment ref="I5" authorId="0">
      <text>
        <r>
          <rPr>
            <b/>
            <sz val="9"/>
            <color indexed="81"/>
            <rFont val="Tahoma"/>
            <family val="2"/>
          </rPr>
          <t>DAM015:</t>
        </r>
        <r>
          <rPr>
            <sz val="9"/>
            <color indexed="81"/>
            <rFont val="Tahoma"/>
            <family val="2"/>
          </rPr>
          <t xml:space="preserve">
Purchase order no of each SO number.
RLMOM151,RLMOM41,RLMOM531,RLMOM671</t>
        </r>
      </text>
    </comment>
    <comment ref="J5" authorId="0">
      <text>
        <r>
          <rPr>
            <b/>
            <sz val="9"/>
            <color indexed="81"/>
            <rFont val="Tahoma"/>
            <family val="2"/>
          </rPr>
          <t>DAM015:</t>
        </r>
        <r>
          <rPr>
            <sz val="9"/>
            <color indexed="81"/>
            <rFont val="Tahoma"/>
            <family val="2"/>
          </rPr>
          <t xml:space="preserve">
Style of each SO/PO
RLMOM151,RLMOM421</t>
        </r>
      </text>
    </comment>
    <comment ref="K5" authorId="0">
      <text>
        <r>
          <rPr>
            <b/>
            <sz val="9"/>
            <color indexed="81"/>
            <rFont val="Tahoma"/>
            <family val="2"/>
          </rPr>
          <t>DAM015:</t>
        </r>
        <r>
          <rPr>
            <sz val="9"/>
            <color indexed="81"/>
            <rFont val="Tahoma"/>
            <family val="2"/>
          </rPr>
          <t xml:space="preserve">
Carton count of each SO/PO/SKU
RLMOM151,RLMOM421,RLMOM531,RLMOM671</t>
        </r>
      </text>
    </comment>
    <comment ref="L5" authorId="0">
      <text>
        <r>
          <rPr>
            <b/>
            <sz val="9"/>
            <color indexed="81"/>
            <rFont val="Tahoma"/>
            <family val="2"/>
          </rPr>
          <t>DAM015:</t>
        </r>
        <r>
          <rPr>
            <sz val="9"/>
            <color indexed="81"/>
            <rFont val="Tahoma"/>
            <family val="2"/>
          </rPr>
          <t xml:space="preserve">
Gross weight of each SO/PO/SKU
RLMOM151,RLMOM421,RLMOM531,RLMOM671</t>
        </r>
      </text>
    </comment>
    <comment ref="M5" authorId="0">
      <text>
        <r>
          <rPr>
            <b/>
            <sz val="9"/>
            <color indexed="81"/>
            <rFont val="Tahoma"/>
            <family val="2"/>
          </rPr>
          <t>DAM015:</t>
        </r>
        <r>
          <rPr>
            <sz val="9"/>
            <color indexed="81"/>
            <rFont val="Tahoma"/>
            <family val="2"/>
          </rPr>
          <t xml:space="preserve">
Volume of each SO/PO/SKU
RLMOM151,RLMOM421,RLMOM531,RLMOM671</t>
        </r>
      </text>
    </comment>
    <comment ref="N5" authorId="0">
      <text>
        <r>
          <rPr>
            <b/>
            <sz val="9"/>
            <color indexed="81"/>
            <rFont val="Tahoma"/>
            <family val="2"/>
          </rPr>
          <t xml:space="preserve">DAM015:
</t>
        </r>
        <r>
          <rPr>
            <sz val="9"/>
            <color indexed="81"/>
            <rFont val="Tahoma"/>
            <family val="2"/>
          </rPr>
          <t>Date when Container stuffing done
RLMOM411</t>
        </r>
      </text>
    </comment>
    <comment ref="U5" authorId="0">
      <text>
        <r>
          <rPr>
            <b/>
            <sz val="9"/>
            <color indexed="81"/>
            <rFont val="Tahoma"/>
            <family val="2"/>
          </rPr>
          <t>DAM015:</t>
        </r>
        <r>
          <rPr>
            <sz val="9"/>
            <color indexed="81"/>
            <rFont val="Tahoma"/>
            <family val="2"/>
          </rPr>
          <t xml:space="preserve">
Carton count of each SO/PO/SKU
RLMOM151,RLMOM421,RLMOM531,RLMOM671</t>
        </r>
      </text>
    </comment>
    <comment ref="H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1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1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1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1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1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1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1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1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1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1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1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1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1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1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1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1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1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1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1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1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1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1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1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1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1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1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1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1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1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1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1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1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1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1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1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1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1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1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1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1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1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1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1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1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1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1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1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1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1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1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1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1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1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1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2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2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2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2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2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2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2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2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2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2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2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2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2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2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2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2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2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2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2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2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2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2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2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2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2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2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2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2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2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2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2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2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2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2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2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2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2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2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2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2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2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3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3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3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3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3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3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3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3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3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3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3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3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3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3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3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3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3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3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3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3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3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3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3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3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3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3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3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3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3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3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3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3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3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3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3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3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3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3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3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3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3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3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3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3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3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3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3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3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4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4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4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4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4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4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4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4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4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4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4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4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4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4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4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4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4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4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4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4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4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4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4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4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4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4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4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4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4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4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4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4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4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4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4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4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4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4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4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4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4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4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4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4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4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4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4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4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4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4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4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4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4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4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4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4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4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4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4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4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5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5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5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5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5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5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5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5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5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5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5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5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5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5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5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5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5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5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5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5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5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5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5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5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5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5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5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5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5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5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5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5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5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5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5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5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  <comment ref="H5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Always 10 Digit start with Origin Prefix</t>
        </r>
      </text>
    </comment>
    <comment ref="I5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J5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 upon the client PO Format
Maximum Digit will be 15</t>
        </r>
      </text>
    </comment>
    <comment ref="K5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Carton
Maximum Digit will be 07</t>
        </r>
      </text>
    </comment>
    <comment ref="L5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QTY
Maximum Digit will be 7</t>
        </r>
      </text>
    </comment>
    <comment ref="M5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SKU Gross weight
Maximum Digit will be 11</t>
        </r>
      </text>
    </comment>
  </commentList>
</comments>
</file>

<file path=xl/sharedStrings.xml><?xml version="1.0" encoding="utf-8"?>
<sst xmlns="http://schemas.openxmlformats.org/spreadsheetml/2006/main" count="584" uniqueCount="184">
  <si>
    <t>PO No</t>
  </si>
  <si>
    <t>Customer Product Code</t>
  </si>
  <si>
    <t>VSN No</t>
  </si>
  <si>
    <t>Plant</t>
  </si>
  <si>
    <t>Ship Date</t>
  </si>
  <si>
    <t>Cancel Date</t>
  </si>
  <si>
    <t>Material Description</t>
  </si>
  <si>
    <t>Port Name</t>
  </si>
  <si>
    <t>Pack Inner</t>
  </si>
  <si>
    <t>Pack Master</t>
  </si>
  <si>
    <t>PO Qty</t>
  </si>
  <si>
    <t>Carton Qty</t>
  </si>
  <si>
    <t>Total Value Item Wise</t>
  </si>
  <si>
    <t>ACT CTN L</t>
  </si>
  <si>
    <t>ACT CTN W</t>
  </si>
  <si>
    <t>ACT CTN H</t>
  </si>
  <si>
    <t>Total CBM</t>
  </si>
  <si>
    <t>ACT Gr Wt</t>
  </si>
  <si>
    <t>ACT Net Wt</t>
  </si>
  <si>
    <t>Total Gross Weight</t>
  </si>
  <si>
    <t>Total Net Weight</t>
  </si>
  <si>
    <t>Transport Mode</t>
  </si>
  <si>
    <t>Container Planning</t>
  </si>
  <si>
    <t>01 x 40'HC</t>
  </si>
  <si>
    <t>** Format to be used for Slip sheets</t>
  </si>
  <si>
    <t>Supplier</t>
  </si>
  <si>
    <t>PO Number</t>
  </si>
  <si>
    <t>Item No</t>
  </si>
  <si>
    <t>Carton Dimension</t>
  </si>
  <si>
    <t xml:space="preserve">Carton cube </t>
  </si>
  <si>
    <t xml:space="preserve">Number of cartons </t>
  </si>
  <si>
    <t xml:space="preserve"> Cube (cbm)</t>
  </si>
  <si>
    <t xml:space="preserve"> Slip sheet Dimension</t>
  </si>
  <si>
    <t>Slip sheet  cube (cbm)</t>
  </si>
  <si>
    <t>Total number of Slip Sheets</t>
  </si>
  <si>
    <t>Cube usage of this item (as per WMGL)</t>
  </si>
  <si>
    <t>Equipment Size</t>
  </si>
  <si>
    <t>ETD</t>
  </si>
  <si>
    <t>L (cm)</t>
  </si>
  <si>
    <t>W (cm)</t>
  </si>
  <si>
    <t>H (cm)</t>
  </si>
  <si>
    <t>NAVNEET EDUCATION LTD</t>
  </si>
  <si>
    <t>Total</t>
  </si>
  <si>
    <t>Pallet Master</t>
  </si>
  <si>
    <t>Pallet Qty</t>
  </si>
  <si>
    <t>OCEAN HEVY</t>
  </si>
  <si>
    <t>CONTAINER MANIFEST (CLR)</t>
  </si>
  <si>
    <r>
      <t xml:space="preserve">Blue color column = </t>
    </r>
    <r>
      <rPr>
        <b/>
        <sz val="11"/>
        <color rgb="FFFF0000"/>
        <rFont val="Verdana"/>
        <family val="2"/>
      </rPr>
      <t xml:space="preserve">Mandatory </t>
    </r>
  </si>
  <si>
    <t>DO Required Date:</t>
  </si>
  <si>
    <t>Cargo Details</t>
  </si>
  <si>
    <t>Carrier Booking no</t>
  </si>
  <si>
    <t>Container Number</t>
  </si>
  <si>
    <t>Line_Seal_NO/
Carrier</t>
  </si>
  <si>
    <t>Cable_Seal_No/
WMT_seal</t>
  </si>
  <si>
    <t>Container_SIZE</t>
  </si>
  <si>
    <t>Sub_case(YES/NO)</t>
  </si>
  <si>
    <t>SHIPPER_Name</t>
  </si>
  <si>
    <t>SO_Number</t>
  </si>
  <si>
    <t>PO_Number</t>
  </si>
  <si>
    <t>SKU/ITEM_NO</t>
  </si>
  <si>
    <t>Cartons</t>
  </si>
  <si>
    <t>Grs_Wt</t>
  </si>
  <si>
    <t>CBM</t>
  </si>
  <si>
    <t xml:space="preserve">STUFFING_DATE </t>
  </si>
  <si>
    <t>Cargo_name</t>
  </si>
  <si>
    <t>INVOICE_NO.</t>
  </si>
  <si>
    <t>INVOICE_DATE</t>
  </si>
  <si>
    <t xml:space="preserve">SB_NO </t>
  </si>
  <si>
    <t>SB_Date</t>
  </si>
  <si>
    <t>HS CODE</t>
  </si>
  <si>
    <t>DC_CODE</t>
  </si>
  <si>
    <t>NCM_code for BR</t>
  </si>
  <si>
    <t>LC_NO</t>
  </si>
  <si>
    <t xml:space="preserve">SKU LOT CODE </t>
  </si>
  <si>
    <t>EXPIRY DATE</t>
  </si>
  <si>
    <t>Additional remarks</t>
  </si>
  <si>
    <t>40'hc</t>
  </si>
  <si>
    <t>YES</t>
  </si>
  <si>
    <t>001</t>
  </si>
  <si>
    <t>0008</t>
  </si>
  <si>
    <t>0012</t>
  </si>
  <si>
    <t>0006</t>
  </si>
  <si>
    <t>01 x 40</t>
  </si>
  <si>
    <t>EASTVALE-FLOW</t>
  </si>
  <si>
    <t>OCEAN</t>
  </si>
  <si>
    <t>0973268127</t>
  </si>
  <si>
    <t>0973329164</t>
  </si>
  <si>
    <t>0973333286</t>
  </si>
  <si>
    <t>0973334243</t>
  </si>
  <si>
    <t>672944123</t>
  </si>
  <si>
    <t>DS-AC-7198</t>
  </si>
  <si>
    <t>1505</t>
  </si>
  <si>
    <t>672948712</t>
  </si>
  <si>
    <t>DS-AC-7199</t>
  </si>
  <si>
    <t>675229715</t>
  </si>
  <si>
    <t>CP-AC-6873</t>
  </si>
  <si>
    <t>680451997</t>
  </si>
  <si>
    <t>CP-AC-7384</t>
  </si>
  <si>
    <t>680628301</t>
  </si>
  <si>
    <t>IC-VA-7700</t>
  </si>
  <si>
    <t>679290076</t>
  </si>
  <si>
    <t>PL-VA-7758</t>
  </si>
  <si>
    <t>578227787</t>
  </si>
  <si>
    <t>FF-OP-4017</t>
  </si>
  <si>
    <t>673195228</t>
  </si>
  <si>
    <t>FF-OP-4012</t>
  </si>
  <si>
    <t>595335499</t>
  </si>
  <si>
    <t>FF-OP-3977</t>
  </si>
  <si>
    <t>655353271</t>
  </si>
  <si>
    <t>FF-OP-5669</t>
  </si>
  <si>
    <t>655353273</t>
  </si>
  <si>
    <t>FF-OP-5670</t>
  </si>
  <si>
    <t>655353268</t>
  </si>
  <si>
    <t>FF-OP-5675</t>
  </si>
  <si>
    <t>655369570</t>
  </si>
  <si>
    <t>FF-VA-5611</t>
  </si>
  <si>
    <t>665466364</t>
  </si>
  <si>
    <t>FF-OP-6833</t>
  </si>
  <si>
    <t>665416705</t>
  </si>
  <si>
    <t>FF-OP-6835</t>
  </si>
  <si>
    <t>665410905</t>
  </si>
  <si>
    <t>FF-OP-6836</t>
  </si>
  <si>
    <t>673195229</t>
  </si>
  <si>
    <t>FF-OP-4014</t>
  </si>
  <si>
    <t>665466368</t>
  </si>
  <si>
    <t>FF-OP-6834</t>
  </si>
  <si>
    <t>665416704</t>
  </si>
  <si>
    <t>FF-OP-6837</t>
  </si>
  <si>
    <t>665466369</t>
  </si>
  <si>
    <t>FF-OP-6838</t>
  </si>
  <si>
    <t>665466365</t>
  </si>
  <si>
    <t>FF-OP-6839</t>
  </si>
  <si>
    <t>665466366</t>
  </si>
  <si>
    <t>FF-OP-6840</t>
  </si>
  <si>
    <t>665466371</t>
  </si>
  <si>
    <t>FF-VA-6823</t>
  </si>
  <si>
    <t>680418812</t>
  </si>
  <si>
    <t>FF-FS-7788</t>
  </si>
  <si>
    <t>680418810</t>
  </si>
  <si>
    <t>FF-FS-7786</t>
  </si>
  <si>
    <t>680334174</t>
  </si>
  <si>
    <t>FF-OP-7766</t>
  </si>
  <si>
    <t>680420888</t>
  </si>
  <si>
    <t>WP-VA-7783</t>
  </si>
  <si>
    <t>Manila Drawing Paper 18x12In 70S 65G</t>
  </si>
  <si>
    <t>Manila Drawing Paper 9x12In 70S 65G</t>
  </si>
  <si>
    <t>Construction Ppr 9x12in Asst HW 120S 95G</t>
  </si>
  <si>
    <t>Heavy Constr Ppr 9x12in 240S 95G Asstort</t>
  </si>
  <si>
    <t>Ruled Flash Card 3x5In 1000SH 134G Asst</t>
  </si>
  <si>
    <t>PP Wiro 9x11in M &amp; W Planer 15M Apr-June</t>
  </si>
  <si>
    <t>2 Pkt Poly Portfolio W/Prong Red</t>
  </si>
  <si>
    <t>2 Pkt polyport 11¼X 9.4in w/prong Yellow</t>
  </si>
  <si>
    <t>POLY RING BINDER 1inch 3-O Ring Black</t>
  </si>
  <si>
    <t>2 Pkt Poly Portfolio W/o Prong Red</t>
  </si>
  <si>
    <t>2 Pkt Poly Portfolio 9.4X11.4IN YELLOW</t>
  </si>
  <si>
    <t>2 Pkt Poly Portfolio 9.4X11.4IN BLACK</t>
  </si>
  <si>
    <t>Dur Poly View 1IN DSlant Ring Bind White</t>
  </si>
  <si>
    <t>2 Pkt Poly Portfolio W/Prong R.Royal</t>
  </si>
  <si>
    <t>2Pket PP Prtfolio W Prng Bright Orange</t>
  </si>
  <si>
    <t>2Pket PP Prtfolio W Prng Purple Stardust</t>
  </si>
  <si>
    <t>2Pket PP Prtfolio W Prng black</t>
  </si>
  <si>
    <t>2 Pkt Poly Portfolio W/Prong P.Green</t>
  </si>
  <si>
    <t>2-Pket PP Prtfolio w/o Prng  B.Orange</t>
  </si>
  <si>
    <t>2-Pket PP Prtfolio w/o Prng P.stardust</t>
  </si>
  <si>
    <t>2 Pkt Poly Portfolio W/o Prong R.Royal</t>
  </si>
  <si>
    <t>2 Pkt Poly Portfolio W/o Prong P.Green</t>
  </si>
  <si>
    <t>PP View 1IN DSlant Ring Binder R.Royal</t>
  </si>
  <si>
    <t>2 Pkt Poly Portfolio W/o Prong Fo Tulip</t>
  </si>
  <si>
    <t>2Pkt PP Prtfolio With Prng Foil Gamer</t>
  </si>
  <si>
    <t>2 Pkt Poly Portfolio W/Prong Asst Pk30</t>
  </si>
  <si>
    <t>Poly Sheet Lifter 13.83x28cm</t>
  </si>
  <si>
    <t>0015</t>
  </si>
  <si>
    <t>0026</t>
  </si>
  <si>
    <t>0004</t>
  </si>
  <si>
    <t>0032</t>
  </si>
  <si>
    <t>0018</t>
  </si>
  <si>
    <t>0056</t>
  </si>
  <si>
    <t>0040</t>
  </si>
  <si>
    <t>0002</t>
  </si>
  <si>
    <t>0010</t>
  </si>
  <si>
    <t>01 x 40HC</t>
  </si>
  <si>
    <t>kh</t>
  </si>
  <si>
    <t>BWD</t>
  </si>
  <si>
    <t>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</si>
</sst>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64" formatCode="#,##0.000"/>
    <numFmt numFmtId="165" formatCode="0.000"/>
    <numFmt numFmtId="166" formatCode="_(* #,##0.00_);_(* \(#,##0.00\);_(* \-??_);_(@_)"/>
    <numFmt numFmtId="167" formatCode="_ * #,##0_ ;_ * \-#,##0_ ;_ * &quot;-&quot;??_ ;_ @_ "/>
    <numFmt numFmtId="168" formatCode="_ * #,##0.000_ ;_ * \-#,##0.000_ ;_ * &quot;-&quot;??_ ;_ @_ "/>
  </numFmts>
  <fonts count="6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8" tint="-0.249977111117893"/>
      <name val="Verdana"/>
      <family val="2"/>
    </font>
    <font>
      <b/>
      <sz val="11"/>
      <color rgb="FFFF0000"/>
      <name val="Verdana"/>
      <family val="2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"/>
      <name val="Calibri"/>
      <family val="2"/>
    </font>
    <font>
      <sz val="11"/>
      <color indexed="8"/>
      <name val="Czcionka tekstu podstawowego"/>
      <family val="2"/>
      <charset val="238"/>
    </font>
    <font>
      <sz val="11"/>
      <color indexed="9"/>
      <name val="Calibri"/>
      <family val="2"/>
    </font>
    <font>
      <sz val="11"/>
      <color indexed="9"/>
      <name val="Czcionka tekstu podstawowego"/>
      <family val="2"/>
      <charset val="23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zcionka tekstu podstawowego"/>
      <family val="2"/>
      <charset val="238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2"/>
      <color indexed="12"/>
      <name val="宋体"/>
      <charset val="134"/>
    </font>
    <font>
      <u/>
      <sz val="11"/>
      <color indexed="12"/>
      <name val="Calibri"/>
      <family val="2"/>
    </font>
    <font>
      <sz val="11"/>
      <color indexed="62"/>
      <name val="Calibri"/>
      <family val="2"/>
    </font>
    <font>
      <sz val="11"/>
      <color indexed="52"/>
      <name val="Czcionka tekstu podstawowego"/>
      <family val="2"/>
      <charset val="238"/>
    </font>
    <font>
      <b/>
      <sz val="11"/>
      <color indexed="9"/>
      <name val="Czcionka tekstu podstawowego"/>
      <family val="2"/>
      <charset val="238"/>
    </font>
    <font>
      <sz val="11"/>
      <color indexed="52"/>
      <name val="Calibri"/>
      <family val="2"/>
    </font>
    <font>
      <b/>
      <sz val="15"/>
      <color indexed="56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sz val="11"/>
      <color indexed="60"/>
      <name val="Calibri"/>
      <family val="2"/>
    </font>
    <font>
      <sz val="11"/>
      <color indexed="60"/>
      <name val="Czcionka tekstu podstawowego"/>
      <family val="2"/>
      <charset val="238"/>
    </font>
    <font>
      <sz val="10"/>
      <color indexed="8"/>
      <name val="MS Sans Serif"/>
      <family val="2"/>
    </font>
    <font>
      <sz val="10"/>
      <color indexed="8"/>
      <name val="匠牥晩††††††††††"/>
    </font>
    <font>
      <sz val="10"/>
      <name val="Verdana"/>
      <family val="2"/>
    </font>
    <font>
      <sz val="11"/>
      <name val="Arial"/>
      <family val="2"/>
    </font>
    <font>
      <sz val="12"/>
      <name val="宋体"/>
      <charset val="134"/>
    </font>
    <font>
      <sz val="10"/>
      <name val="Geneva"/>
    </font>
    <font>
      <b/>
      <sz val="11"/>
      <color indexed="52"/>
      <name val="Czcionka tekstu podstawowego"/>
      <family val="2"/>
      <charset val="238"/>
    </font>
    <font>
      <b/>
      <sz val="11"/>
      <color indexed="63"/>
      <name val="Calibri"/>
      <family val="2"/>
    </font>
    <font>
      <sz val="12"/>
      <name val="Times New Roman"/>
      <family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2"/>
      <charset val="238"/>
    </font>
    <font>
      <sz val="11"/>
      <color indexed="10"/>
      <name val="Calibri"/>
      <family val="2"/>
    </font>
    <font>
      <sz val="11"/>
      <color indexed="20"/>
      <name val="Czcionka tekstu podstawowego"/>
      <family val="2"/>
      <charset val="238"/>
    </font>
    <font>
      <sz val="11"/>
      <name val="明朝"/>
      <family val="1"/>
      <charset val="128"/>
    </font>
    <font>
      <b/>
      <sz val="11"/>
      <color rgb="FFFF000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38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65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6" borderId="0" applyNumberFormat="0" applyBorder="0" applyAlignment="0" applyProtection="0"/>
    <xf numFmtId="0" fontId="17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9" fillId="20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7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1" fillId="28" borderId="11" applyNumberFormat="0" applyAlignment="0" applyProtection="0"/>
    <xf numFmtId="0" fontId="21" fillId="28" borderId="11" applyNumberFormat="0" applyAlignment="0" applyProtection="0"/>
    <xf numFmtId="0" fontId="21" fillId="28" borderId="11" applyNumberFormat="0" applyAlignment="0" applyProtection="0"/>
    <xf numFmtId="0" fontId="21" fillId="28" borderId="11" applyNumberFormat="0" applyAlignment="0" applyProtection="0"/>
    <xf numFmtId="0" fontId="21" fillId="28" borderId="11" applyNumberFormat="0" applyAlignment="0" applyProtection="0"/>
    <xf numFmtId="0" fontId="21" fillId="28" borderId="11" applyNumberFormat="0" applyAlignment="0" applyProtection="0"/>
    <xf numFmtId="0" fontId="22" fillId="29" borderId="12" applyNumberFormat="0" applyAlignment="0" applyProtection="0"/>
    <xf numFmtId="0" fontId="22" fillId="29" borderId="12" applyNumberFormat="0" applyAlignment="0" applyProtection="0"/>
    <xf numFmtId="0" fontId="22" fillId="29" borderId="12" applyNumberFormat="0" applyAlignment="0" applyProtection="0"/>
    <xf numFmtId="0" fontId="22" fillId="29" borderId="12" applyNumberFormat="0" applyAlignment="0" applyProtection="0"/>
    <xf numFmtId="0" fontId="22" fillId="29" borderId="12" applyNumberFormat="0" applyAlignment="0" applyProtection="0"/>
    <xf numFmtId="0" fontId="22" fillId="29" borderId="12" applyNumberFormat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0" fontId="23" fillId="15" borderId="11" applyNumberFormat="0" applyAlignment="0" applyProtection="0"/>
    <xf numFmtId="0" fontId="24" fillId="28" borderId="13" applyNumberFormat="0" applyAlignment="0" applyProtection="0"/>
    <xf numFmtId="0" fontId="25" fillId="12" borderId="0" applyNumberFormat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16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15" borderId="11" applyNumberFormat="0" applyAlignment="0" applyProtection="0"/>
    <xf numFmtId="0" fontId="33" fillId="15" borderId="11" applyNumberFormat="0" applyAlignment="0" applyProtection="0"/>
    <xf numFmtId="0" fontId="33" fillId="15" borderId="11" applyNumberFormat="0" applyAlignment="0" applyProtection="0"/>
    <xf numFmtId="0" fontId="33" fillId="15" borderId="11" applyNumberFormat="0" applyAlignment="0" applyProtection="0"/>
    <xf numFmtId="0" fontId="33" fillId="15" borderId="11" applyNumberFormat="0" applyAlignment="0" applyProtection="0"/>
    <xf numFmtId="0" fontId="33" fillId="15" borderId="11" applyNumberFormat="0" applyAlignment="0" applyProtection="0"/>
    <xf numFmtId="0" fontId="34" fillId="0" borderId="17" applyNumberFormat="0" applyFill="0" applyAlignment="0" applyProtection="0"/>
    <xf numFmtId="0" fontId="35" fillId="29" borderId="12" applyNumberFormat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7" fillId="0" borderId="14" applyNumberFormat="0" applyFill="0" applyAlignment="0" applyProtection="0"/>
    <xf numFmtId="0" fontId="38" fillId="0" borderId="15" applyNumberFormat="0" applyFill="0" applyAlignment="0" applyProtection="0"/>
    <xf numFmtId="0" fontId="39" fillId="0" borderId="16" applyNumberFormat="0" applyFill="0" applyAlignment="0" applyProtection="0"/>
    <xf numFmtId="0" fontId="39" fillId="0" borderId="0" applyNumberFormat="0" applyFill="0" applyBorder="0" applyAlignment="0" applyProtection="0"/>
    <xf numFmtId="0" fontId="40" fillId="30" borderId="0" applyNumberFormat="0" applyBorder="0" applyAlignment="0" applyProtection="0"/>
    <xf numFmtId="0" fontId="40" fillId="30" borderId="0" applyNumberFormat="0" applyBorder="0" applyAlignment="0" applyProtection="0"/>
    <xf numFmtId="0" fontId="40" fillId="30" borderId="0" applyNumberFormat="0" applyBorder="0" applyAlignment="0" applyProtection="0"/>
    <xf numFmtId="0" fontId="40" fillId="30" borderId="0" applyNumberFormat="0" applyBorder="0" applyAlignment="0" applyProtection="0"/>
    <xf numFmtId="0" fontId="40" fillId="30" borderId="0" applyNumberFormat="0" applyBorder="0" applyAlignment="0" applyProtection="0"/>
    <xf numFmtId="0" fontId="40" fillId="30" borderId="0" applyNumberFormat="0" applyBorder="0" applyAlignment="0" applyProtection="0"/>
    <xf numFmtId="0" fontId="41" fillId="30" borderId="0" applyNumberFormat="0" applyBorder="0" applyAlignment="0" applyProtection="0"/>
    <xf numFmtId="0" fontId="42" fillId="0" borderId="0"/>
    <xf numFmtId="0" fontId="4" fillId="0" borderId="0"/>
    <xf numFmtId="0" fontId="4" fillId="0" borderId="0"/>
    <xf numFmtId="0" fontId="4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2" fillId="0" borderId="0"/>
    <xf numFmtId="0" fontId="16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" fillId="0" borderId="0"/>
    <xf numFmtId="0" fontId="42" fillId="0" borderId="0"/>
    <xf numFmtId="0" fontId="42" fillId="0" borderId="0"/>
    <xf numFmtId="0" fontId="42" fillId="0" borderId="0"/>
    <xf numFmtId="0" fontId="4" fillId="0" borderId="0"/>
    <xf numFmtId="0" fontId="43" fillId="0" borderId="0"/>
    <xf numFmtId="0" fontId="43" fillId="0" borderId="0"/>
    <xf numFmtId="0" fontId="16" fillId="0" borderId="0"/>
    <xf numFmtId="0" fontId="16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6" fillId="0" borderId="0"/>
    <xf numFmtId="0" fontId="4" fillId="0" borderId="0"/>
    <xf numFmtId="0" fontId="44" fillId="0" borderId="0"/>
    <xf numFmtId="0" fontId="42" fillId="0" borderId="0"/>
    <xf numFmtId="0" fontId="43" fillId="0" borderId="0"/>
    <xf numFmtId="0" fontId="4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" fillId="0" borderId="0"/>
    <xf numFmtId="0" fontId="16" fillId="0" borderId="0"/>
    <xf numFmtId="0" fontId="42" fillId="0" borderId="0"/>
    <xf numFmtId="0" fontId="4" fillId="0" borderId="0"/>
    <xf numFmtId="0" fontId="42" fillId="0" borderId="0"/>
    <xf numFmtId="0" fontId="4" fillId="0" borderId="0"/>
    <xf numFmtId="0" fontId="16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" fillId="0" borderId="0"/>
    <xf numFmtId="0" fontId="4" fillId="0" borderId="0"/>
    <xf numFmtId="0" fontId="45" fillId="0" borderId="0"/>
    <xf numFmtId="0" fontId="42" fillId="0" borderId="0"/>
    <xf numFmtId="0" fontId="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5" fillId="0" borderId="0"/>
    <xf numFmtId="0" fontId="42" fillId="0" borderId="0"/>
    <xf numFmtId="0" fontId="16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6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6" fillId="0" borderId="0"/>
    <xf numFmtId="0" fontId="4" fillId="0" borderId="0"/>
    <xf numFmtId="0" fontId="16" fillId="0" borderId="0"/>
    <xf numFmtId="0" fontId="16" fillId="0" borderId="0"/>
    <xf numFmtId="0" fontId="16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" fillId="0" borderId="0"/>
    <xf numFmtId="0" fontId="16" fillId="0" borderId="0"/>
    <xf numFmtId="0" fontId="42" fillId="0" borderId="0"/>
    <xf numFmtId="0" fontId="16" fillId="0" borderId="0"/>
    <xf numFmtId="0" fontId="4" fillId="0" borderId="0"/>
    <xf numFmtId="0" fontId="4" fillId="0" borderId="0"/>
    <xf numFmtId="0" fontId="4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2" fillId="0" borderId="0"/>
    <xf numFmtId="0" fontId="16" fillId="0" borderId="0"/>
    <xf numFmtId="0" fontId="16" fillId="0" borderId="0"/>
    <xf numFmtId="0" fontId="16" fillId="0" borderId="0"/>
    <xf numFmtId="0" fontId="42" fillId="0" borderId="0"/>
    <xf numFmtId="0" fontId="16" fillId="0" borderId="0"/>
    <xf numFmtId="0" fontId="16" fillId="0" borderId="0"/>
    <xf numFmtId="0" fontId="16" fillId="0" borderId="0"/>
    <xf numFmtId="0" fontId="42" fillId="0" borderId="0"/>
    <xf numFmtId="0" fontId="16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6" fillId="0" borderId="0"/>
    <xf numFmtId="0" fontId="4" fillId="0" borderId="0"/>
    <xf numFmtId="0" fontId="4" fillId="0" borderId="0"/>
    <xf numFmtId="0" fontId="42" fillId="0" borderId="0"/>
    <xf numFmtId="0" fontId="16" fillId="0" borderId="0"/>
    <xf numFmtId="0" fontId="16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6" fillId="0" borderId="0"/>
    <xf numFmtId="0" fontId="16" fillId="0" borderId="0"/>
    <xf numFmtId="0" fontId="16" fillId="0" borderId="0"/>
    <xf numFmtId="0" fontId="42" fillId="0" borderId="0"/>
    <xf numFmtId="0" fontId="42" fillId="0" borderId="0"/>
    <xf numFmtId="0" fontId="16" fillId="0" borderId="0"/>
    <xf numFmtId="0" fontId="42" fillId="0" borderId="0"/>
    <xf numFmtId="0" fontId="4" fillId="0" borderId="0"/>
    <xf numFmtId="0" fontId="16" fillId="0" borderId="0"/>
    <xf numFmtId="0" fontId="42" fillId="0" borderId="0"/>
    <xf numFmtId="0" fontId="42" fillId="0" borderId="0"/>
    <xf numFmtId="0" fontId="16" fillId="0" borderId="0"/>
    <xf numFmtId="0" fontId="16" fillId="0" borderId="0"/>
    <xf numFmtId="0" fontId="42" fillId="0" borderId="0"/>
    <xf numFmtId="0" fontId="4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" fillId="0" borderId="0"/>
    <xf numFmtId="0" fontId="4" fillId="0" borderId="0"/>
    <xf numFmtId="0" fontId="16" fillId="0" borderId="0"/>
    <xf numFmtId="0" fontId="42" fillId="0" borderId="0"/>
    <xf numFmtId="0" fontId="16" fillId="0" borderId="0"/>
    <xf numFmtId="0" fontId="16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" fillId="0" borderId="0"/>
    <xf numFmtId="0" fontId="47" fillId="0" borderId="0"/>
    <xf numFmtId="0" fontId="4" fillId="31" borderId="18" applyNumberFormat="0" applyAlignment="0" applyProtection="0"/>
    <xf numFmtId="0" fontId="4" fillId="31" borderId="18" applyNumberFormat="0" applyAlignment="0" applyProtection="0"/>
    <xf numFmtId="0" fontId="4" fillId="31" borderId="18" applyNumberFormat="0" applyAlignment="0" applyProtection="0"/>
    <xf numFmtId="0" fontId="4" fillId="31" borderId="18" applyNumberFormat="0" applyAlignment="0" applyProtection="0"/>
    <xf numFmtId="0" fontId="4" fillId="31" borderId="18" applyNumberFormat="0" applyAlignment="0" applyProtection="0"/>
    <xf numFmtId="0" fontId="4" fillId="31" borderId="18" applyNumberFormat="0" applyAlignment="0" applyProtection="0"/>
    <xf numFmtId="0" fontId="48" fillId="28" borderId="11" applyNumberFormat="0" applyAlignment="0" applyProtection="0"/>
    <xf numFmtId="0" fontId="49" fillId="28" borderId="13" applyNumberFormat="0" applyAlignment="0" applyProtection="0"/>
    <xf numFmtId="0" fontId="49" fillId="28" borderId="13" applyNumberFormat="0" applyAlignment="0" applyProtection="0"/>
    <xf numFmtId="0" fontId="49" fillId="28" borderId="13" applyNumberFormat="0" applyAlignment="0" applyProtection="0"/>
    <xf numFmtId="0" fontId="49" fillId="28" borderId="13" applyNumberFormat="0" applyAlignment="0" applyProtection="0"/>
    <xf numFmtId="0" fontId="49" fillId="28" borderId="13" applyNumberFormat="0" applyAlignment="0" applyProtection="0"/>
    <xf numFmtId="0" fontId="49" fillId="28" borderId="13" applyNumberFormat="0" applyAlignment="0" applyProtection="0"/>
    <xf numFmtId="0" fontId="4" fillId="10" borderId="13" applyNumberFormat="0" applyProtection="0">
      <alignment horizontal="left" vertical="center" indent="1"/>
    </xf>
    <xf numFmtId="0" fontId="50" fillId="0" borderId="0"/>
    <xf numFmtId="0" fontId="51" fillId="0" borderId="19" applyNumberFormat="0" applyFill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5" fillId="0" borderId="19" applyNumberFormat="0" applyFill="0" applyAlignment="0" applyProtection="0"/>
    <xf numFmtId="0" fontId="56" fillId="0" borderId="0" applyNumberFormat="0" applyFill="0" applyBorder="0" applyAlignment="0" applyProtection="0"/>
    <xf numFmtId="0" fontId="4" fillId="31" borderId="18" applyNumberFormat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11" borderId="0" applyNumberFormat="0" applyBorder="0" applyAlignment="0" applyProtection="0"/>
    <xf numFmtId="0" fontId="46" fillId="0" borderId="0">
      <alignment vertical="center"/>
    </xf>
    <xf numFmtId="0" fontId="59" fillId="0" borderId="0"/>
  </cellStyleXfs>
  <cellXfs count="95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2" borderId="2" xfId="0" applyFill="1" applyBorder="1" applyAlignment="1">
      <alignment horizontal="center" vertical="top" wrapText="1"/>
    </xf>
    <xf numFmtId="0" fontId="0" fillId="0" borderId="0" xfId="0" applyAlignment="1">
      <alignment wrapText="1"/>
    </xf>
    <xf numFmtId="4" fontId="3" fillId="0" borderId="1" xfId="0" applyNumberFormat="1" applyFont="1" applyBorder="1" applyAlignment="1">
      <alignment horizontal="right" vertical="top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quotePrefix="1" applyBorder="1"/>
    <xf numFmtId="2" fontId="0" fillId="0" borderId="1" xfId="0" applyNumberFormat="1" applyBorder="1"/>
    <xf numFmtId="165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/>
    <xf numFmtId="165" fontId="0" fillId="4" borderId="1" xfId="0" applyNumberFormat="1" applyFill="1" applyBorder="1"/>
    <xf numFmtId="16" fontId="2" fillId="0" borderId="6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/>
    <xf numFmtId="43" fontId="4" fillId="0" borderId="0" xfId="2" applyNumberFormat="1" applyAlignment="1">
      <alignment vertical="top"/>
    </xf>
    <xf numFmtId="43" fontId="3" fillId="0" borderId="0" xfId="0" applyNumberFormat="1" applyFont="1" applyAlignment="1">
      <alignment vertical="top"/>
    </xf>
    <xf numFmtId="0" fontId="7" fillId="6" borderId="0" xfId="2" applyFont="1" applyFill="1" applyAlignment="1">
      <alignment horizontal="center"/>
    </xf>
    <xf numFmtId="0" fontId="8" fillId="6" borderId="8" xfId="2" applyFont="1" applyFill="1" applyBorder="1"/>
    <xf numFmtId="0" fontId="10" fillId="6" borderId="0" xfId="2" applyFont="1" applyFill="1"/>
    <xf numFmtId="0" fontId="11" fillId="6" borderId="0" xfId="2" applyFont="1" applyFill="1"/>
    <xf numFmtId="0" fontId="11" fillId="6" borderId="0" xfId="2" applyFont="1" applyFill="1" applyAlignment="1">
      <alignment horizontal="center"/>
    </xf>
    <xf numFmtId="0" fontId="2" fillId="7" borderId="1" xfId="2" applyFont="1" applyFill="1" applyBorder="1" applyAlignment="1">
      <alignment horizontal="left" vertical="center"/>
    </xf>
    <xf numFmtId="0" fontId="1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/>
    </xf>
    <xf numFmtId="0" fontId="13" fillId="8" borderId="9" xfId="2" applyFont="1" applyFill="1" applyBorder="1" applyAlignment="1">
      <alignment vertical="center" wrapText="1"/>
    </xf>
    <xf numFmtId="0" fontId="13" fillId="8" borderId="10" xfId="2" applyFont="1" applyFill="1" applyBorder="1" applyAlignment="1">
      <alignment vertical="center" wrapText="1"/>
    </xf>
    <xf numFmtId="0" fontId="13" fillId="8" borderId="3" xfId="2" applyFont="1" applyFill="1" applyBorder="1" applyAlignment="1">
      <alignment vertical="center" wrapText="1"/>
    </xf>
    <xf numFmtId="0" fontId="13" fillId="9" borderId="1" xfId="2" applyFont="1" applyFill="1" applyBorder="1" applyAlignment="1">
      <alignment horizontal="center" vertical="center"/>
    </xf>
    <xf numFmtId="0" fontId="13" fillId="9" borderId="1" xfId="2" applyFont="1" applyFill="1" applyBorder="1" applyAlignment="1">
      <alignment horizontal="center" vertical="center" wrapText="1"/>
    </xf>
    <xf numFmtId="0" fontId="13" fillId="4" borderId="1" xfId="2" applyFont="1" applyFill="1" applyBorder="1" applyAlignment="1">
      <alignment horizontal="center" vertical="center"/>
    </xf>
    <xf numFmtId="0" fontId="13" fillId="7" borderId="1" xfId="2" applyFont="1" applyFill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6" borderId="1" xfId="2" applyFont="1" applyFill="1" applyBorder="1" applyAlignment="1">
      <alignment horizontal="center" vertical="center"/>
    </xf>
    <xf numFmtId="0" fontId="3" fillId="0" borderId="1" xfId="2" quotePrefix="1" applyFont="1" applyBorder="1" applyAlignment="1">
      <alignment horizontal="center" vertical="center"/>
    </xf>
    <xf numFmtId="1" fontId="3" fillId="6" borderId="1" xfId="2" applyNumberFormat="1" applyFont="1" applyFill="1" applyBorder="1" applyAlignment="1">
      <alignment horizontal="center" vertical="center"/>
    </xf>
    <xf numFmtId="14" fontId="1" fillId="0" borderId="1" xfId="2" applyNumberFormat="1" applyFont="1" applyBorder="1" applyAlignment="1">
      <alignment horizontal="center"/>
    </xf>
    <xf numFmtId="0" fontId="1" fillId="0" borderId="1" xfId="2" applyFont="1" applyBorder="1" applyAlignment="1">
      <alignment horizontal="center"/>
    </xf>
    <xf numFmtId="2" fontId="3" fillId="0" borderId="1" xfId="2" applyNumberFormat="1" applyFont="1" applyBorder="1" applyAlignment="1">
      <alignment horizontal="center" vertical="center"/>
    </xf>
    <xf numFmtId="0" fontId="0" fillId="0" borderId="1" xfId="2" applyFont="1" applyBorder="1" applyAlignment="1">
      <alignment horizontal="center" vertical="center"/>
    </xf>
    <xf numFmtId="16" fontId="1" fillId="7" borderId="1" xfId="2" applyNumberFormat="1" applyFont="1" applyFill="1" applyBorder="1" applyAlignment="1">
      <alignment horizontal="center" vertical="center"/>
    </xf>
    <xf numFmtId="43" fontId="0" fillId="0" borderId="0" xfId="1" applyFont="1"/>
    <xf numFmtId="43" fontId="4" fillId="0" borderId="0" xfId="1" applyFont="1" applyAlignment="1">
      <alignment vertical="top"/>
    </xf>
    <xf numFmtId="43" fontId="3" fillId="0" borderId="0" xfId="1" applyFont="1"/>
    <xf numFmtId="0" fontId="3" fillId="0" borderId="1" xfId="0" applyFont="1" applyBorder="1" applyAlignment="1">
      <alignment vertical="top"/>
    </xf>
    <xf numFmtId="14" fontId="3" fillId="0" borderId="1" xfId="0" applyNumberFormat="1" applyFont="1" applyBorder="1" applyAlignment="1">
      <alignment horizontal="right" vertical="top"/>
    </xf>
    <xf numFmtId="2" fontId="3" fillId="0" borderId="0" xfId="0" applyNumberFormat="1" applyFont="1" applyAlignment="1">
      <alignment vertical="top"/>
    </xf>
    <xf numFmtId="0" fontId="3" fillId="0" borderId="1" xfId="0" applyFont="1" applyBorder="1"/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right" vertical="top"/>
    </xf>
    <xf numFmtId="0" fontId="0" fillId="0" borderId="0" xfId="0" applyAlignment="1">
      <alignment vertical="top"/>
    </xf>
    <xf numFmtId="3" fontId="2" fillId="0" borderId="0" xfId="0" applyNumberFormat="1" applyFon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3" fontId="4" fillId="0" borderId="0" xfId="1" applyFont="1" applyBorder="1" applyAlignment="1">
      <alignment vertical="top"/>
    </xf>
    <xf numFmtId="43" fontId="0" fillId="0" borderId="0" xfId="1" applyFont="1" applyBorder="1"/>
    <xf numFmtId="43" fontId="2" fillId="0" borderId="0" xfId="1" applyFont="1" applyBorder="1" applyAlignment="1">
      <alignment horizontal="right" vertical="top"/>
    </xf>
    <xf numFmtId="167" fontId="3" fillId="0" borderId="0" xfId="1" applyNumberFormat="1" applyFont="1" applyAlignment="1">
      <alignment vertical="top"/>
    </xf>
    <xf numFmtId="167" fontId="3" fillId="0" borderId="0" xfId="1" applyNumberFormat="1" applyFont="1" applyBorder="1" applyAlignment="1">
      <alignment vertical="top"/>
    </xf>
    <xf numFmtId="167" fontId="0" fillId="0" borderId="0" xfId="1" applyNumberFormat="1" applyFont="1"/>
    <xf numFmtId="3" fontId="60" fillId="0" borderId="20" xfId="0" applyNumberFormat="1" applyFont="1" applyBorder="1"/>
    <xf numFmtId="0" fontId="5" fillId="0" borderId="20" xfId="0" applyFont="1" applyBorder="1"/>
    <xf numFmtId="43" fontId="60" fillId="0" borderId="20" xfId="1" applyFont="1" applyBorder="1"/>
    <xf numFmtId="164" fontId="2" fillId="0" borderId="0" xfId="0" applyNumberFormat="1" applyFont="1" applyAlignment="1">
      <alignment horizontal="right" vertical="top"/>
    </xf>
    <xf numFmtId="165" fontId="3" fillId="0" borderId="1" xfId="2" applyNumberFormat="1" applyFont="1" applyBorder="1" applyAlignment="1">
      <alignment horizontal="center" vertical="center"/>
    </xf>
    <xf numFmtId="164" fontId="0" fillId="0" borderId="0" xfId="0" applyNumberFormat="1"/>
    <xf numFmtId="168" fontId="60" fillId="0" borderId="20" xfId="1" applyNumberFormat="1" applyFont="1" applyBorder="1"/>
    <xf numFmtId="0" fontId="0" fillId="0" borderId="1" xfId="0" applyBorder="1" applyAlignment="1">
      <alignment vertical="top"/>
    </xf>
    <xf numFmtId="3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43" fontId="1" fillId="0" borderId="1" xfId="1" applyFon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Font="1" applyBorder="1" applyAlignment="1">
      <alignment vertical="top"/>
    </xf>
    <xf numFmtId="3" fontId="0" fillId="0" borderId="1" xfId="0" applyNumberFormat="1" applyFont="1" applyBorder="1" applyAlignment="1">
      <alignment horizontal="right" vertical="top"/>
    </xf>
    <xf numFmtId="0" fontId="2" fillId="0" borderId="2" xfId="0" quotePrefix="1" applyFont="1" applyBorder="1" applyAlignment="1">
      <alignment horizontal="center" vertical="center" wrapText="1"/>
    </xf>
    <xf numFmtId="0" fontId="2" fillId="0" borderId="21" xfId="0" quotePrefix="1" applyFont="1" applyBorder="1" applyAlignment="1">
      <alignment horizontal="center" vertical="center" wrapText="1"/>
    </xf>
    <xf numFmtId="0" fontId="2" fillId="0" borderId="7" xfId="0" quotePrefix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6" fillId="5" borderId="8" xfId="2" applyFont="1" applyFill="1" applyBorder="1" applyAlignment="1">
      <alignment horizontal="center" vertical="center" wrapText="1"/>
    </xf>
    <xf numFmtId="0" fontId="6" fillId="5" borderId="0" xfId="2" applyFont="1" applyFill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" fontId="2" fillId="0" borderId="3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</cellXfs>
  <cellStyles count="765">
    <cellStyle name="20% - Accent1 2" xfId="4"/>
    <cellStyle name="20% - Accent1 3" xfId="5"/>
    <cellStyle name="20% - Accent1 4" xfId="6"/>
    <cellStyle name="20% - Accent1 5" xfId="7"/>
    <cellStyle name="20% - Accent1 6" xfId="8"/>
    <cellStyle name="20% - Accent1 7" xfId="9"/>
    <cellStyle name="20% - Accent2 2" xfId="10"/>
    <cellStyle name="20% - Accent2 3" xfId="11"/>
    <cellStyle name="20% - Accent2 4" xfId="12"/>
    <cellStyle name="20% - Accent2 5" xfId="13"/>
    <cellStyle name="20% - Accent2 6" xfId="14"/>
    <cellStyle name="20% - Accent2 7" xfId="15"/>
    <cellStyle name="20% - Accent3 2" xfId="16"/>
    <cellStyle name="20% - Accent3 3" xfId="17"/>
    <cellStyle name="20% - Accent3 4" xfId="18"/>
    <cellStyle name="20% - Accent3 5" xfId="19"/>
    <cellStyle name="20% - Accent3 6" xfId="20"/>
    <cellStyle name="20% - Accent3 7" xfId="21"/>
    <cellStyle name="20% - Accent4 2" xfId="22"/>
    <cellStyle name="20% - Accent4 3" xfId="23"/>
    <cellStyle name="20% - Accent4 4" xfId="24"/>
    <cellStyle name="20% - Accent4 5" xfId="25"/>
    <cellStyle name="20% - Accent4 6" xfId="26"/>
    <cellStyle name="20% - Accent4 7" xfId="27"/>
    <cellStyle name="20% - Accent5 2" xfId="28"/>
    <cellStyle name="20% - Accent5 3" xfId="29"/>
    <cellStyle name="20% - Accent5 4" xfId="30"/>
    <cellStyle name="20% - Accent5 5" xfId="31"/>
    <cellStyle name="20% - Accent5 6" xfId="32"/>
    <cellStyle name="20% - Accent5 7" xfId="33"/>
    <cellStyle name="20% - Accent6 2" xfId="34"/>
    <cellStyle name="20% - Accent6 3" xfId="35"/>
    <cellStyle name="20% - Accent6 4" xfId="36"/>
    <cellStyle name="20% - Accent6 5" xfId="37"/>
    <cellStyle name="20% - Accent6 6" xfId="38"/>
    <cellStyle name="20% - Accent6 7" xfId="39"/>
    <cellStyle name="20% - akcent 1" xfId="40"/>
    <cellStyle name="20% - akcent 2" xfId="41"/>
    <cellStyle name="20% - akcent 3" xfId="42"/>
    <cellStyle name="20% - akcent 4" xfId="43"/>
    <cellStyle name="20% - akcent 5" xfId="44"/>
    <cellStyle name="20% - akcent 6" xfId="45"/>
    <cellStyle name="40% - Accent1 2" xfId="46"/>
    <cellStyle name="40% - Accent1 3" xfId="47"/>
    <cellStyle name="40% - Accent1 4" xfId="48"/>
    <cellStyle name="40% - Accent1 5" xfId="49"/>
    <cellStyle name="40% - Accent1 6" xfId="50"/>
    <cellStyle name="40% - Accent1 7" xfId="51"/>
    <cellStyle name="40% - Accent2 2" xfId="52"/>
    <cellStyle name="40% - Accent2 3" xfId="53"/>
    <cellStyle name="40% - Accent2 4" xfId="54"/>
    <cellStyle name="40% - Accent2 5" xfId="55"/>
    <cellStyle name="40% - Accent2 6" xfId="56"/>
    <cellStyle name="40% - Accent2 7" xfId="57"/>
    <cellStyle name="40% - Accent3 2" xfId="58"/>
    <cellStyle name="40% - Accent3 3" xfId="59"/>
    <cellStyle name="40% - Accent3 4" xfId="60"/>
    <cellStyle name="40% - Accent3 5" xfId="61"/>
    <cellStyle name="40% - Accent3 6" xfId="62"/>
    <cellStyle name="40% - Accent3 7" xfId="63"/>
    <cellStyle name="40% - Accent4 2" xfId="64"/>
    <cellStyle name="40% - Accent4 3" xfId="65"/>
    <cellStyle name="40% - Accent4 4" xfId="66"/>
    <cellStyle name="40% - Accent4 5" xfId="67"/>
    <cellStyle name="40% - Accent4 6" xfId="68"/>
    <cellStyle name="40% - Accent4 7" xfId="69"/>
    <cellStyle name="40% - Accent5 2" xfId="70"/>
    <cellStyle name="40% - Accent5 3" xfId="71"/>
    <cellStyle name="40% - Accent5 4" xfId="72"/>
    <cellStyle name="40% - Accent5 5" xfId="73"/>
    <cellStyle name="40% - Accent5 6" xfId="74"/>
    <cellStyle name="40% - Accent5 7" xfId="75"/>
    <cellStyle name="40% - Accent6 2" xfId="76"/>
    <cellStyle name="40% - Accent6 3" xfId="77"/>
    <cellStyle name="40% - Accent6 4" xfId="78"/>
    <cellStyle name="40% - Accent6 5" xfId="79"/>
    <cellStyle name="40% - Accent6 6" xfId="80"/>
    <cellStyle name="40% - Accent6 7" xfId="81"/>
    <cellStyle name="40% - akcent 1" xfId="82"/>
    <cellStyle name="40% - akcent 2" xfId="83"/>
    <cellStyle name="40% - akcent 3" xfId="84"/>
    <cellStyle name="40% - akcent 4" xfId="85"/>
    <cellStyle name="40% - akcent 5" xfId="86"/>
    <cellStyle name="40% - akcent 6" xfId="87"/>
    <cellStyle name="60% - Accent1 2" xfId="88"/>
    <cellStyle name="60% - Accent1 3" xfId="89"/>
    <cellStyle name="60% - Accent1 4" xfId="90"/>
    <cellStyle name="60% - Accent1 5" xfId="91"/>
    <cellStyle name="60% - Accent1 6" xfId="92"/>
    <cellStyle name="60% - Accent1 7" xfId="93"/>
    <cellStyle name="60% - Accent2 2" xfId="94"/>
    <cellStyle name="60% - Accent2 3" xfId="95"/>
    <cellStyle name="60% - Accent2 4" xfId="96"/>
    <cellStyle name="60% - Accent2 5" xfId="97"/>
    <cellStyle name="60% - Accent2 6" xfId="98"/>
    <cellStyle name="60% - Accent2 7" xfId="99"/>
    <cellStyle name="60% - Accent3 2" xfId="100"/>
    <cellStyle name="60% - Accent3 3" xfId="101"/>
    <cellStyle name="60% - Accent3 4" xfId="102"/>
    <cellStyle name="60% - Accent3 5" xfId="103"/>
    <cellStyle name="60% - Accent3 6" xfId="104"/>
    <cellStyle name="60% - Accent3 7" xfId="105"/>
    <cellStyle name="60% - Accent4 2" xfId="106"/>
    <cellStyle name="60% - Accent4 3" xfId="107"/>
    <cellStyle name="60% - Accent4 4" xfId="108"/>
    <cellStyle name="60% - Accent4 5" xfId="109"/>
    <cellStyle name="60% - Accent4 6" xfId="110"/>
    <cellStyle name="60% - Accent4 7" xfId="111"/>
    <cellStyle name="60% - Accent5 2" xfId="112"/>
    <cellStyle name="60% - Accent5 3" xfId="113"/>
    <cellStyle name="60% - Accent5 4" xfId="114"/>
    <cellStyle name="60% - Accent5 5" xfId="115"/>
    <cellStyle name="60% - Accent5 6" xfId="116"/>
    <cellStyle name="60% - Accent5 7" xfId="117"/>
    <cellStyle name="60% - Accent6 2" xfId="118"/>
    <cellStyle name="60% - Accent6 3" xfId="119"/>
    <cellStyle name="60% - Accent6 4" xfId="120"/>
    <cellStyle name="60% - Accent6 5" xfId="121"/>
    <cellStyle name="60% - Accent6 6" xfId="122"/>
    <cellStyle name="60% - Accent6 7" xfId="123"/>
    <cellStyle name="60% - akcent 1" xfId="124"/>
    <cellStyle name="60% - akcent 2" xfId="125"/>
    <cellStyle name="60% - akcent 3" xfId="126"/>
    <cellStyle name="60% - akcent 4" xfId="127"/>
    <cellStyle name="60% - akcent 5" xfId="128"/>
    <cellStyle name="60% - akcent 6" xfId="129"/>
    <cellStyle name="Accent1 2" xfId="130"/>
    <cellStyle name="Accent1 3" xfId="131"/>
    <cellStyle name="Accent1 4" xfId="132"/>
    <cellStyle name="Accent1 5" xfId="133"/>
    <cellStyle name="Accent1 6" xfId="134"/>
    <cellStyle name="Accent1 7" xfId="135"/>
    <cellStyle name="Accent2 2" xfId="136"/>
    <cellStyle name="Accent2 3" xfId="137"/>
    <cellStyle name="Accent2 4" xfId="138"/>
    <cellStyle name="Accent2 5" xfId="139"/>
    <cellStyle name="Accent2 6" xfId="140"/>
    <cellStyle name="Accent2 7" xfId="141"/>
    <cellStyle name="Accent3 2" xfId="142"/>
    <cellStyle name="Accent3 3" xfId="143"/>
    <cellStyle name="Accent3 4" xfId="144"/>
    <cellStyle name="Accent3 5" xfId="145"/>
    <cellStyle name="Accent3 6" xfId="146"/>
    <cellStyle name="Accent3 7" xfId="147"/>
    <cellStyle name="Accent4 2" xfId="148"/>
    <cellStyle name="Accent4 3" xfId="149"/>
    <cellStyle name="Accent4 4" xfId="150"/>
    <cellStyle name="Accent4 5" xfId="151"/>
    <cellStyle name="Accent4 6" xfId="152"/>
    <cellStyle name="Accent4 7" xfId="153"/>
    <cellStyle name="Accent5 2" xfId="154"/>
    <cellStyle name="Accent5 3" xfId="155"/>
    <cellStyle name="Accent5 4" xfId="156"/>
    <cellStyle name="Accent5 5" xfId="157"/>
    <cellStyle name="Accent5 6" xfId="158"/>
    <cellStyle name="Accent5 7" xfId="159"/>
    <cellStyle name="Accent6 2" xfId="160"/>
    <cellStyle name="Accent6 3" xfId="161"/>
    <cellStyle name="Accent6 4" xfId="162"/>
    <cellStyle name="Accent6 5" xfId="163"/>
    <cellStyle name="Accent6 6" xfId="164"/>
    <cellStyle name="Accent6 7" xfId="165"/>
    <cellStyle name="Akcent 1" xfId="166"/>
    <cellStyle name="Akcent 2" xfId="167"/>
    <cellStyle name="Akcent 3" xfId="168"/>
    <cellStyle name="Akcent 4" xfId="169"/>
    <cellStyle name="Akcent 5" xfId="170"/>
    <cellStyle name="Akcent 6" xfId="171"/>
    <cellStyle name="Bad 2" xfId="172"/>
    <cellStyle name="Bad 3" xfId="173"/>
    <cellStyle name="Bad 4" xfId="174"/>
    <cellStyle name="Bad 5" xfId="175"/>
    <cellStyle name="Bad 6" xfId="176"/>
    <cellStyle name="Bad 7" xfId="177"/>
    <cellStyle name="Calculation 2" xfId="178"/>
    <cellStyle name="Calculation 3" xfId="179"/>
    <cellStyle name="Calculation 4" xfId="180"/>
    <cellStyle name="Calculation 5" xfId="181"/>
    <cellStyle name="Calculation 6" xfId="182"/>
    <cellStyle name="Calculation 7" xfId="183"/>
    <cellStyle name="Check Cell 2" xfId="184"/>
    <cellStyle name="Check Cell 3" xfId="185"/>
    <cellStyle name="Check Cell 4" xfId="186"/>
    <cellStyle name="Check Cell 5" xfId="187"/>
    <cellStyle name="Check Cell 6" xfId="188"/>
    <cellStyle name="Check Cell 7" xfId="189"/>
    <cellStyle name="Comma" xfId="1" builtinId="3"/>
    <cellStyle name="Comma 2" xfId="190"/>
    <cellStyle name="Comma 2 2" xfId="191"/>
    <cellStyle name="Comma 3" xfId="192"/>
    <cellStyle name="Comma 4" xfId="193"/>
    <cellStyle name="Dane wejściowe" xfId="194"/>
    <cellStyle name="Dane wyjściowe" xfId="195"/>
    <cellStyle name="Dobre" xfId="196"/>
    <cellStyle name="Explanatory Text 2" xfId="197"/>
    <cellStyle name="Explanatory Text 3" xfId="198"/>
    <cellStyle name="Explanatory Text 4" xfId="199"/>
    <cellStyle name="Explanatory Text 5" xfId="200"/>
    <cellStyle name="Explanatory Text 6" xfId="201"/>
    <cellStyle name="Explanatory Text 7" xfId="202"/>
    <cellStyle name="Good 2" xfId="203"/>
    <cellStyle name="Good 3" xfId="204"/>
    <cellStyle name="Good 4" xfId="205"/>
    <cellStyle name="Good 5" xfId="206"/>
    <cellStyle name="Good 6" xfId="207"/>
    <cellStyle name="Good 7" xfId="208"/>
    <cellStyle name="Heading 1 2" xfId="209"/>
    <cellStyle name="Heading 1 3" xfId="210"/>
    <cellStyle name="Heading 1 4" xfId="211"/>
    <cellStyle name="Heading 1 5" xfId="212"/>
    <cellStyle name="Heading 1 6" xfId="213"/>
    <cellStyle name="Heading 1 7" xfId="214"/>
    <cellStyle name="Heading 2 2" xfId="215"/>
    <cellStyle name="Heading 2 3" xfId="216"/>
    <cellStyle name="Heading 2 4" xfId="217"/>
    <cellStyle name="Heading 2 5" xfId="218"/>
    <cellStyle name="Heading 2 6" xfId="219"/>
    <cellStyle name="Heading 2 7" xfId="220"/>
    <cellStyle name="Heading 3 2" xfId="221"/>
    <cellStyle name="Heading 3 3" xfId="222"/>
    <cellStyle name="Heading 3 4" xfId="223"/>
    <cellStyle name="Heading 3 5" xfId="224"/>
    <cellStyle name="Heading 3 6" xfId="225"/>
    <cellStyle name="Heading 3 7" xfId="226"/>
    <cellStyle name="Heading 4 2" xfId="227"/>
    <cellStyle name="Heading 4 3" xfId="228"/>
    <cellStyle name="Heading 4 4" xfId="229"/>
    <cellStyle name="Heading 4 5" xfId="230"/>
    <cellStyle name="Heading 4 6" xfId="231"/>
    <cellStyle name="Heading 4 7" xfId="232"/>
    <cellStyle name="Hyperlink 2" xfId="233"/>
    <cellStyle name="Hyperlink 2 2" xfId="234"/>
    <cellStyle name="Hyperlink 3" xfId="235"/>
    <cellStyle name="Hyperlink 3 2" xfId="236"/>
    <cellStyle name="Hyperlink 4" xfId="237"/>
    <cellStyle name="Hyperlink 7 2" xfId="238"/>
    <cellStyle name="Hyperlink 8 2" xfId="239"/>
    <cellStyle name="Hyperlink 9" xfId="240"/>
    <cellStyle name="Input 2" xfId="241"/>
    <cellStyle name="Input 3" xfId="242"/>
    <cellStyle name="Input 4" xfId="243"/>
    <cellStyle name="Input 5" xfId="244"/>
    <cellStyle name="Input 6" xfId="245"/>
    <cellStyle name="Input 7" xfId="246"/>
    <cellStyle name="Komórka połączona" xfId="247"/>
    <cellStyle name="Komórka zaznaczona" xfId="248"/>
    <cellStyle name="Linked Cell 2" xfId="249"/>
    <cellStyle name="Linked Cell 3" xfId="250"/>
    <cellStyle name="Linked Cell 4" xfId="251"/>
    <cellStyle name="Linked Cell 5" xfId="252"/>
    <cellStyle name="Linked Cell 6" xfId="253"/>
    <cellStyle name="Linked Cell 7" xfId="254"/>
    <cellStyle name="Nagłówek 1" xfId="255"/>
    <cellStyle name="Nagłówek 2" xfId="256"/>
    <cellStyle name="Nagłówek 3" xfId="257"/>
    <cellStyle name="Nagłówek 4" xfId="258"/>
    <cellStyle name="Neutral 2" xfId="259"/>
    <cellStyle name="Neutral 3" xfId="260"/>
    <cellStyle name="Neutral 4" xfId="261"/>
    <cellStyle name="Neutral 5" xfId="262"/>
    <cellStyle name="Neutral 6" xfId="263"/>
    <cellStyle name="Neutral 7" xfId="264"/>
    <cellStyle name="Neutralne" xfId="265"/>
    <cellStyle name="Normal" xfId="0" builtinId="0"/>
    <cellStyle name="Normal 10" xfId="266"/>
    <cellStyle name="Normal 10 2" xfId="267"/>
    <cellStyle name="Normal 10 3" xfId="268"/>
    <cellStyle name="Normal 10 4" xfId="269"/>
    <cellStyle name="Normal 100" xfId="270"/>
    <cellStyle name="Normal 100 2" xfId="271"/>
    <cellStyle name="Normal 100 3" xfId="272"/>
    <cellStyle name="Normal 100 4" xfId="273"/>
    <cellStyle name="Normal 101" xfId="274"/>
    <cellStyle name="Normal 101 2" xfId="275"/>
    <cellStyle name="Normal 101 3" xfId="276"/>
    <cellStyle name="Normal 102" xfId="277"/>
    <cellStyle name="Normal 103" xfId="278"/>
    <cellStyle name="Normal 104" xfId="279"/>
    <cellStyle name="Normal 105" xfId="280"/>
    <cellStyle name="Normal 106" xfId="281"/>
    <cellStyle name="Normal 107" xfId="282"/>
    <cellStyle name="Normal 108" xfId="283"/>
    <cellStyle name="Normal 109" xfId="284"/>
    <cellStyle name="Normal 11" xfId="285"/>
    <cellStyle name="Normal 11 2" xfId="286"/>
    <cellStyle name="Normal 11 3" xfId="287"/>
    <cellStyle name="Normal 11 4" xfId="288"/>
    <cellStyle name="Normal 110" xfId="289"/>
    <cellStyle name="Normal 111" xfId="290"/>
    <cellStyle name="Normal 112" xfId="291"/>
    <cellStyle name="Normal 113" xfId="292"/>
    <cellStyle name="Normal 114" xfId="293"/>
    <cellStyle name="Normal 115" xfId="294"/>
    <cellStyle name="Normal 115 2" xfId="295"/>
    <cellStyle name="Normal 115 3" xfId="296"/>
    <cellStyle name="Normal 116" xfId="297"/>
    <cellStyle name="Normal 117" xfId="298"/>
    <cellStyle name="Normal 12" xfId="299"/>
    <cellStyle name="Normal 12 2" xfId="300"/>
    <cellStyle name="Normal 12 3" xfId="301"/>
    <cellStyle name="Normal 13" xfId="302"/>
    <cellStyle name="Normal 14" xfId="303"/>
    <cellStyle name="Normal 14 2" xfId="304"/>
    <cellStyle name="Normal 15" xfId="305"/>
    <cellStyle name="Normal 16" xfId="306"/>
    <cellStyle name="Normal 16 2" xfId="307"/>
    <cellStyle name="Normal 17" xfId="308"/>
    <cellStyle name="Normal 17 2" xfId="309"/>
    <cellStyle name="Normal 18" xfId="310"/>
    <cellStyle name="Normal 18 2" xfId="311"/>
    <cellStyle name="Normal 19" xfId="312"/>
    <cellStyle name="Normal 19 2" xfId="313"/>
    <cellStyle name="Normal 2" xfId="2"/>
    <cellStyle name="Normal 2 10" xfId="314"/>
    <cellStyle name="Normal 2 11" xfId="315"/>
    <cellStyle name="Normal 2 12" xfId="316"/>
    <cellStyle name="Normal 2 13" xfId="317"/>
    <cellStyle name="Normal 2 13 2" xfId="318"/>
    <cellStyle name="Normal 2 13 3" xfId="319"/>
    <cellStyle name="Normal 2 13 4" xfId="320"/>
    <cellStyle name="Normal 2 13 4 2" xfId="321"/>
    <cellStyle name="Normal 2 14" xfId="322"/>
    <cellStyle name="Normal 2 15" xfId="323"/>
    <cellStyle name="Normal 2 16" xfId="324"/>
    <cellStyle name="Normal 2 17" xfId="325"/>
    <cellStyle name="Normal 2 18" xfId="326"/>
    <cellStyle name="Normal 2 19" xfId="327"/>
    <cellStyle name="Normal 2 2" xfId="328"/>
    <cellStyle name="Normal 2 2 10" xfId="329"/>
    <cellStyle name="Normal 2 2 11" xfId="330"/>
    <cellStyle name="Normal 2 2 12" xfId="331"/>
    <cellStyle name="Normal 2 2 13" xfId="332"/>
    <cellStyle name="Normal 2 2 14" xfId="333"/>
    <cellStyle name="Normal 2 2 15" xfId="334"/>
    <cellStyle name="Normal 2 2 16" xfId="335"/>
    <cellStyle name="Normal 2 2 17" xfId="336"/>
    <cellStyle name="Normal 2 2 18" xfId="337"/>
    <cellStyle name="Normal 2 2 19" xfId="338"/>
    <cellStyle name="Normal 2 2 2" xfId="339"/>
    <cellStyle name="Normal 2 2 2 2" xfId="340"/>
    <cellStyle name="Normal 2 2 2 2 2" xfId="341"/>
    <cellStyle name="Normal 2 2 2 2 3" xfId="342"/>
    <cellStyle name="Normal 2 2 2 3" xfId="343"/>
    <cellStyle name="Normal 2 2 2 4" xfId="344"/>
    <cellStyle name="Normal 2 2 3" xfId="345"/>
    <cellStyle name="Normal 2 2 4" xfId="346"/>
    <cellStyle name="Normal 2 2 5" xfId="347"/>
    <cellStyle name="Normal 2 2 6" xfId="348"/>
    <cellStyle name="Normal 2 2 7" xfId="349"/>
    <cellStyle name="Normal 2 2 8" xfId="350"/>
    <cellStyle name="Normal 2 2 9" xfId="351"/>
    <cellStyle name="Normal 2 20" xfId="352"/>
    <cellStyle name="Normal 2 21" xfId="353"/>
    <cellStyle name="Normal 2 22" xfId="354"/>
    <cellStyle name="Normal 2 23" xfId="355"/>
    <cellStyle name="Normal 2 24" xfId="356"/>
    <cellStyle name="Normal 2 25" xfId="357"/>
    <cellStyle name="Normal 2 26" xfId="358"/>
    <cellStyle name="Normal 2 27" xfId="359"/>
    <cellStyle name="Normal 2 28" xfId="360"/>
    <cellStyle name="Normal 2 29" xfId="361"/>
    <cellStyle name="Normal 2 3" xfId="362"/>
    <cellStyle name="Normal 2 3 2" xfId="363"/>
    <cellStyle name="Normal 2 3 3" xfId="364"/>
    <cellStyle name="Normal 2 3 4" xfId="365"/>
    <cellStyle name="Normal 2 3 5" xfId="366"/>
    <cellStyle name="Normal 2 3 6" xfId="367"/>
    <cellStyle name="Normal 2 30" xfId="368"/>
    <cellStyle name="Normal 2 31" xfId="369"/>
    <cellStyle name="Normal 2 32" xfId="370"/>
    <cellStyle name="Normal 2 4" xfId="371"/>
    <cellStyle name="Normal 2 4 2" xfId="372"/>
    <cellStyle name="Normal 2 4 3" xfId="373"/>
    <cellStyle name="Normal 2 4 4" xfId="374"/>
    <cellStyle name="Normal 2 4 5" xfId="375"/>
    <cellStyle name="Normal 2 4 6" xfId="376"/>
    <cellStyle name="Normal 2 5" xfId="377"/>
    <cellStyle name="Normal 2 5 2" xfId="378"/>
    <cellStyle name="Normal 2 5 3" xfId="379"/>
    <cellStyle name="Normal 2 5 4" xfId="380"/>
    <cellStyle name="Normal 2 5 5" xfId="381"/>
    <cellStyle name="Normal 2 5 6" xfId="382"/>
    <cellStyle name="Normal 2 6" xfId="383"/>
    <cellStyle name="Normal 2 6 2" xfId="384"/>
    <cellStyle name="Normal 2 6 3" xfId="385"/>
    <cellStyle name="Normal 2 6 4" xfId="386"/>
    <cellStyle name="Normal 2 6 5" xfId="387"/>
    <cellStyle name="Normal 2 6 6" xfId="388"/>
    <cellStyle name="Normal 2 7" xfId="389"/>
    <cellStyle name="Normal 2 7 2" xfId="390"/>
    <cellStyle name="Normal 2 7 3" xfId="391"/>
    <cellStyle name="Normal 2 7 4" xfId="392"/>
    <cellStyle name="Normal 2 7 5" xfId="393"/>
    <cellStyle name="Normal 2 7 6" xfId="394"/>
    <cellStyle name="Normal 2 8" xfId="395"/>
    <cellStyle name="Normal 2 9" xfId="396"/>
    <cellStyle name="Normal 20" xfId="397"/>
    <cellStyle name="Normal 20 2" xfId="398"/>
    <cellStyle name="Normal 20 3" xfId="399"/>
    <cellStyle name="Normal 20 4" xfId="400"/>
    <cellStyle name="Normal 20 5" xfId="401"/>
    <cellStyle name="Normal 20 6" xfId="402"/>
    <cellStyle name="Normal 20 7" xfId="403"/>
    <cellStyle name="Normal 20 8" xfId="404"/>
    <cellStyle name="Normal 21" xfId="405"/>
    <cellStyle name="Normal 21 2" xfId="406"/>
    <cellStyle name="Normal 22" xfId="407"/>
    <cellStyle name="Normal 22 2" xfId="408"/>
    <cellStyle name="Normal 22 2 2 2 2 2 2 2 2 2 2 2 2" xfId="409"/>
    <cellStyle name="Normal 23" xfId="410"/>
    <cellStyle name="Normal 23 2" xfId="411"/>
    <cellStyle name="Normal 23 3" xfId="412"/>
    <cellStyle name="Normal 23 4" xfId="413"/>
    <cellStyle name="Normal 23 5" xfId="414"/>
    <cellStyle name="Normal 23 6" xfId="415"/>
    <cellStyle name="Normal 24" xfId="416"/>
    <cellStyle name="Normal 24 2" xfId="417"/>
    <cellStyle name="Normal 24 3" xfId="418"/>
    <cellStyle name="Normal 24 4" xfId="419"/>
    <cellStyle name="Normal 24 5" xfId="420"/>
    <cellStyle name="Normal 24 6" xfId="421"/>
    <cellStyle name="Normal 25" xfId="422"/>
    <cellStyle name="Normal 25 2" xfId="423"/>
    <cellStyle name="Normal 25 3" xfId="424"/>
    <cellStyle name="Normal 25 4" xfId="425"/>
    <cellStyle name="Normal 25 5" xfId="426"/>
    <cellStyle name="Normal 25 6" xfId="427"/>
    <cellStyle name="Normal 26" xfId="428"/>
    <cellStyle name="Normal 26 2" xfId="429"/>
    <cellStyle name="Normal 26 3" xfId="430"/>
    <cellStyle name="Normal 26 4" xfId="431"/>
    <cellStyle name="Normal 26 5" xfId="432"/>
    <cellStyle name="Normal 26 6" xfId="433"/>
    <cellStyle name="Normal 26 7" xfId="434"/>
    <cellStyle name="Normal 27" xfId="435"/>
    <cellStyle name="Normal 27 2" xfId="436"/>
    <cellStyle name="Normal 27 3" xfId="437"/>
    <cellStyle name="Normal 27 4" xfId="438"/>
    <cellStyle name="Normal 27 5" xfId="439"/>
    <cellStyle name="Normal 27 6" xfId="440"/>
    <cellStyle name="Normal 27 7" xfId="441"/>
    <cellStyle name="Normal 28" xfId="442"/>
    <cellStyle name="Normal 28 2" xfId="443"/>
    <cellStyle name="Normal 28 3" xfId="444"/>
    <cellStyle name="Normal 28 4" xfId="445"/>
    <cellStyle name="Normal 28 5" xfId="446"/>
    <cellStyle name="Normal 28 6" xfId="447"/>
    <cellStyle name="Normal 28 7" xfId="448"/>
    <cellStyle name="Normal 29" xfId="449"/>
    <cellStyle name="Normal 29 2" xfId="450"/>
    <cellStyle name="Normal 29 3" xfId="451"/>
    <cellStyle name="Normal 29 4" xfId="452"/>
    <cellStyle name="Normal 29 5" xfId="453"/>
    <cellStyle name="Normal 29 6" xfId="454"/>
    <cellStyle name="Normal 3" xfId="3"/>
    <cellStyle name="Normal 3 10" xfId="455"/>
    <cellStyle name="Normal 3 11" xfId="456"/>
    <cellStyle name="Normal 3 12" xfId="457"/>
    <cellStyle name="Normal 3 13" xfId="458"/>
    <cellStyle name="Normal 3 14" xfId="459"/>
    <cellStyle name="Normal 3 15" xfId="460"/>
    <cellStyle name="Normal 3 2" xfId="461"/>
    <cellStyle name="Normal 3 2 2" xfId="462"/>
    <cellStyle name="Normal 3 2 3" xfId="463"/>
    <cellStyle name="Normal 3 2 4" xfId="464"/>
    <cellStyle name="Normal 3 2 5" xfId="465"/>
    <cellStyle name="Normal 3 2 6" xfId="466"/>
    <cellStyle name="Normal 3 3" xfId="467"/>
    <cellStyle name="Normal 3 3 2" xfId="468"/>
    <cellStyle name="Normal 3 3 3" xfId="469"/>
    <cellStyle name="Normal 3 3 4" xfId="470"/>
    <cellStyle name="Normal 3 3 5" xfId="471"/>
    <cellStyle name="Normal 3 3 6" xfId="472"/>
    <cellStyle name="Normal 3 4" xfId="473"/>
    <cellStyle name="Normal 3 4 2" xfId="474"/>
    <cellStyle name="Normal 3 4 3" xfId="475"/>
    <cellStyle name="Normal 3 4 4" xfId="476"/>
    <cellStyle name="Normal 3 4 5" xfId="477"/>
    <cellStyle name="Normal 3 4 6" xfId="478"/>
    <cellStyle name="Normal 3 5" xfId="479"/>
    <cellStyle name="Normal 3 5 2" xfId="480"/>
    <cellStyle name="Normal 3 5 3" xfId="481"/>
    <cellStyle name="Normal 3 5 4" xfId="482"/>
    <cellStyle name="Normal 3 5 5" xfId="483"/>
    <cellStyle name="Normal 3 5 6" xfId="484"/>
    <cellStyle name="Normal 3 6" xfId="485"/>
    <cellStyle name="Normal 3 6 2" xfId="486"/>
    <cellStyle name="Normal 3 6 3" xfId="487"/>
    <cellStyle name="Normal 3 6 4" xfId="488"/>
    <cellStyle name="Normal 3 6 5" xfId="489"/>
    <cellStyle name="Normal 3 6 6" xfId="490"/>
    <cellStyle name="Normal 3 7" xfId="491"/>
    <cellStyle name="Normal 3 7 2" xfId="492"/>
    <cellStyle name="Normal 3 7 3" xfId="493"/>
    <cellStyle name="Normal 3 7 4" xfId="494"/>
    <cellStyle name="Normal 3 7 5" xfId="495"/>
    <cellStyle name="Normal 3 7 6" xfId="496"/>
    <cellStyle name="Normal 3 8" xfId="497"/>
    <cellStyle name="Normal 3 9" xfId="498"/>
    <cellStyle name="Normal 30" xfId="499"/>
    <cellStyle name="Normal 31" xfId="500"/>
    <cellStyle name="Normal 32" xfId="501"/>
    <cellStyle name="Normal 32 2" xfId="502"/>
    <cellStyle name="Normal 32 3" xfId="503"/>
    <cellStyle name="Normal 32 4" xfId="504"/>
    <cellStyle name="Normal 33" xfId="505"/>
    <cellStyle name="Normal 33 2" xfId="506"/>
    <cellStyle name="Normal 33 3" xfId="507"/>
    <cellStyle name="Normal 33 4" xfId="508"/>
    <cellStyle name="Normal 34" xfId="509"/>
    <cellStyle name="Normal 34 2" xfId="510"/>
    <cellStyle name="Normal 34 3" xfId="511"/>
    <cellStyle name="Normal 34 4" xfId="512"/>
    <cellStyle name="Normal 35" xfId="513"/>
    <cellStyle name="Normal 35 2" xfId="514"/>
    <cellStyle name="Normal 35 3" xfId="515"/>
    <cellStyle name="Normal 35 4" xfId="516"/>
    <cellStyle name="Normal 36" xfId="517"/>
    <cellStyle name="Normal 36 2" xfId="518"/>
    <cellStyle name="Normal 36 3" xfId="519"/>
    <cellStyle name="Normal 36 4" xfId="520"/>
    <cellStyle name="Normal 37" xfId="521"/>
    <cellStyle name="Normal 37 2" xfId="522"/>
    <cellStyle name="Normal 37 3" xfId="523"/>
    <cellStyle name="Normal 37 4" xfId="524"/>
    <cellStyle name="Normal 38" xfId="525"/>
    <cellStyle name="Normal 38 2" xfId="526"/>
    <cellStyle name="Normal 38 3" xfId="527"/>
    <cellStyle name="Normal 38 4" xfId="528"/>
    <cellStyle name="Normal 39" xfId="529"/>
    <cellStyle name="Normal 39 2" xfId="530"/>
    <cellStyle name="Normal 39 3" xfId="531"/>
    <cellStyle name="Normal 39 4" xfId="532"/>
    <cellStyle name="Normal 4" xfId="533"/>
    <cellStyle name="Normal 4 10" xfId="534"/>
    <cellStyle name="Normal 4 11" xfId="535"/>
    <cellStyle name="Normal 4 12" xfId="536"/>
    <cellStyle name="Normal 4 2" xfId="537"/>
    <cellStyle name="Normal 4 2 2" xfId="538"/>
    <cellStyle name="Normal 4 3" xfId="539"/>
    <cellStyle name="Normal 4 4" xfId="540"/>
    <cellStyle name="Normal 4 5" xfId="541"/>
    <cellStyle name="Normal 4 6" xfId="542"/>
    <cellStyle name="Normal 4 7" xfId="543"/>
    <cellStyle name="Normal 4 8" xfId="544"/>
    <cellStyle name="Normal 4 9" xfId="545"/>
    <cellStyle name="Normal 40" xfId="546"/>
    <cellStyle name="Normal 40 2" xfId="547"/>
    <cellStyle name="Normal 40 3" xfId="548"/>
    <cellStyle name="Normal 40 4" xfId="549"/>
    <cellStyle name="Normal 41" xfId="550"/>
    <cellStyle name="Normal 41 2" xfId="551"/>
    <cellStyle name="Normal 41 3" xfId="552"/>
    <cellStyle name="Normal 41 4" xfId="553"/>
    <cellStyle name="Normal 42" xfId="554"/>
    <cellStyle name="Normal 42 2" xfId="555"/>
    <cellStyle name="Normal 42 3" xfId="556"/>
    <cellStyle name="Normal 42 4" xfId="557"/>
    <cellStyle name="Normal 43" xfId="558"/>
    <cellStyle name="Normal 43 2" xfId="559"/>
    <cellStyle name="Normal 43 3" xfId="560"/>
    <cellStyle name="Normal 43 4" xfId="561"/>
    <cellStyle name="Normal 44" xfId="562"/>
    <cellStyle name="Normal 44 2" xfId="563"/>
    <cellStyle name="Normal 44 3" xfId="564"/>
    <cellStyle name="Normal 44 4" xfId="565"/>
    <cellStyle name="Normal 45" xfId="566"/>
    <cellStyle name="Normal 45 2" xfId="567"/>
    <cellStyle name="Normal 45 3" xfId="568"/>
    <cellStyle name="Normal 45 4" xfId="569"/>
    <cellStyle name="Normal 46" xfId="570"/>
    <cellStyle name="Normal 46 2" xfId="571"/>
    <cellStyle name="Normal 46 3" xfId="572"/>
    <cellStyle name="Normal 46 4" xfId="573"/>
    <cellStyle name="Normal 47" xfId="574"/>
    <cellStyle name="Normal 47 2" xfId="575"/>
    <cellStyle name="Normal 47 3" xfId="576"/>
    <cellStyle name="Normal 47 4" xfId="577"/>
    <cellStyle name="Normal 48" xfId="578"/>
    <cellStyle name="Normal 48 2" xfId="579"/>
    <cellStyle name="Normal 48 3" xfId="580"/>
    <cellStyle name="Normal 48 4" xfId="581"/>
    <cellStyle name="Normal 49" xfId="582"/>
    <cellStyle name="Normal 49 2" xfId="583"/>
    <cellStyle name="Normal 49 3" xfId="584"/>
    <cellStyle name="Normal 49 4" xfId="585"/>
    <cellStyle name="Normal 5" xfId="586"/>
    <cellStyle name="Normal 5 2" xfId="587"/>
    <cellStyle name="Normal 5 3" xfId="588"/>
    <cellStyle name="Normal 5 4" xfId="589"/>
    <cellStyle name="Normal 5 5" xfId="590"/>
    <cellStyle name="Normal 50" xfId="591"/>
    <cellStyle name="Normal 50 2" xfId="592"/>
    <cellStyle name="Normal 50 3" xfId="593"/>
    <cellStyle name="Normal 50 4" xfId="594"/>
    <cellStyle name="Normal 51" xfId="595"/>
    <cellStyle name="Normal 51 2" xfId="596"/>
    <cellStyle name="Normal 51 3" xfId="597"/>
    <cellStyle name="Normal 51 4" xfId="598"/>
    <cellStyle name="Normal 52" xfId="599"/>
    <cellStyle name="Normal 52 2" xfId="600"/>
    <cellStyle name="Normal 52 3" xfId="601"/>
    <cellStyle name="Normal 52 4" xfId="602"/>
    <cellStyle name="Normal 53" xfId="603"/>
    <cellStyle name="Normal 53 2" xfId="604"/>
    <cellStyle name="Normal 53 3" xfId="605"/>
    <cellStyle name="Normal 53 4" xfId="606"/>
    <cellStyle name="Normal 54" xfId="607"/>
    <cellStyle name="Normal 54 2" xfId="608"/>
    <cellStyle name="Normal 54 3" xfId="609"/>
    <cellStyle name="Normal 54 4" xfId="610"/>
    <cellStyle name="Normal 55" xfId="611"/>
    <cellStyle name="Normal 55 2" xfId="612"/>
    <cellStyle name="Normal 55 3" xfId="613"/>
    <cellStyle name="Normal 55 4" xfId="614"/>
    <cellStyle name="Normal 56" xfId="615"/>
    <cellStyle name="Normal 56 2" xfId="616"/>
    <cellStyle name="Normal 56 3" xfId="617"/>
    <cellStyle name="Normal 56 4" xfId="618"/>
    <cellStyle name="Normal 57" xfId="619"/>
    <cellStyle name="Normal 57 2" xfId="620"/>
    <cellStyle name="Normal 57 3" xfId="621"/>
    <cellStyle name="Normal 57 4" xfId="622"/>
    <cellStyle name="Normal 58" xfId="623"/>
    <cellStyle name="Normal 59" xfId="624"/>
    <cellStyle name="Normal 59 2" xfId="625"/>
    <cellStyle name="Normal 6" xfId="626"/>
    <cellStyle name="Normal 6 2" xfId="627"/>
    <cellStyle name="Normal 6 3" xfId="628"/>
    <cellStyle name="Normal 6 4" xfId="629"/>
    <cellStyle name="Normal 6 5" xfId="630"/>
    <cellStyle name="Normal 6 6" xfId="631"/>
    <cellStyle name="Normal 60" xfId="632"/>
    <cellStyle name="Normal 61" xfId="633"/>
    <cellStyle name="Normal 61 2" xfId="634"/>
    <cellStyle name="Normal 61 3" xfId="635"/>
    <cellStyle name="Normal 62" xfId="636"/>
    <cellStyle name="Normal 63" xfId="637"/>
    <cellStyle name="Normal 63 2" xfId="638"/>
    <cellStyle name="Normal 64" xfId="639"/>
    <cellStyle name="Normal 65" xfId="640"/>
    <cellStyle name="Normal 66" xfId="641"/>
    <cellStyle name="Normal 66 2" xfId="642"/>
    <cellStyle name="Normal 67" xfId="643"/>
    <cellStyle name="Normal 67 2" xfId="644"/>
    <cellStyle name="Normal 68" xfId="645"/>
    <cellStyle name="Normal 68 2" xfId="646"/>
    <cellStyle name="Normal 69" xfId="647"/>
    <cellStyle name="Normal 69 2" xfId="648"/>
    <cellStyle name="Normal 7" xfId="649"/>
    <cellStyle name="Normal 7 2" xfId="650"/>
    <cellStyle name="Normal 7 3" xfId="651"/>
    <cellStyle name="Normal 7 4" xfId="652"/>
    <cellStyle name="Normal 7 5" xfId="653"/>
    <cellStyle name="Normal 7 5 2" xfId="654"/>
    <cellStyle name="Normal 70" xfId="655"/>
    <cellStyle name="Normal 70 2" xfId="656"/>
    <cellStyle name="Normal 71" xfId="657"/>
    <cellStyle name="Normal 71 2" xfId="658"/>
    <cellStyle name="Normal 72" xfId="659"/>
    <cellStyle name="Normal 72 2" xfId="660"/>
    <cellStyle name="Normal 73" xfId="661"/>
    <cellStyle name="Normal 73 2" xfId="662"/>
    <cellStyle name="Normal 74" xfId="663"/>
    <cellStyle name="Normal 74 2" xfId="664"/>
    <cellStyle name="Normal 75" xfId="665"/>
    <cellStyle name="Normal 75 2" xfId="666"/>
    <cellStyle name="Normal 76" xfId="667"/>
    <cellStyle name="Normal 77" xfId="668"/>
    <cellStyle name="Normal 77 2" xfId="669"/>
    <cellStyle name="Normal 78" xfId="670"/>
    <cellStyle name="Normal 78 2" xfId="671"/>
    <cellStyle name="Normal 79" xfId="672"/>
    <cellStyle name="Normal 8" xfId="673"/>
    <cellStyle name="Normal 8 2" xfId="674"/>
    <cellStyle name="Normal 8_Pentland Manual Booking - 6397 Pairs" xfId="675"/>
    <cellStyle name="Normal 80" xfId="676"/>
    <cellStyle name="Normal 80 2" xfId="677"/>
    <cellStyle name="Normal 81" xfId="678"/>
    <cellStyle name="Normal 82" xfId="679"/>
    <cellStyle name="Normal 83" xfId="680"/>
    <cellStyle name="Normal 83 2" xfId="681"/>
    <cellStyle name="Normal 84" xfId="682"/>
    <cellStyle name="Normal 84 2" xfId="683"/>
    <cellStyle name="Normal 85" xfId="684"/>
    <cellStyle name="Normal 85 2" xfId="685"/>
    <cellStyle name="Normal 86" xfId="686"/>
    <cellStyle name="Normal 87" xfId="687"/>
    <cellStyle name="Normal 88" xfId="688"/>
    <cellStyle name="Normal 89" xfId="689"/>
    <cellStyle name="Normal 9" xfId="690"/>
    <cellStyle name="Normal 9 2" xfId="691"/>
    <cellStyle name="Normal 90" xfId="692"/>
    <cellStyle name="Normal 91" xfId="693"/>
    <cellStyle name="Normal 92" xfId="694"/>
    <cellStyle name="Normal 92 2" xfId="695"/>
    <cellStyle name="Normal 93" xfId="696"/>
    <cellStyle name="Normal 94" xfId="697"/>
    <cellStyle name="Normal 95" xfId="698"/>
    <cellStyle name="Normal 96" xfId="699"/>
    <cellStyle name="Normal 97" xfId="700"/>
    <cellStyle name="Normal 98" xfId="701"/>
    <cellStyle name="Normal 98 2" xfId="702"/>
    <cellStyle name="Normal 98 2 10" xfId="703"/>
    <cellStyle name="Normal 98 2 11" xfId="704"/>
    <cellStyle name="Normal 98 2 12" xfId="705"/>
    <cellStyle name="Normal 98 2 13" xfId="706"/>
    <cellStyle name="Normal 98 2 14" xfId="707"/>
    <cellStyle name="Normal 98 2 15" xfId="708"/>
    <cellStyle name="Normal 98 2 16" xfId="709"/>
    <cellStyle name="Normal 98 2 16 2" xfId="710"/>
    <cellStyle name="Normal 98 2 16 2 2" xfId="711"/>
    <cellStyle name="Normal 98 2 17" xfId="712"/>
    <cellStyle name="Normal 98 2 18" xfId="713"/>
    <cellStyle name="Normal 98 2 2" xfId="714"/>
    <cellStyle name="Normal 98 2 3" xfId="715"/>
    <cellStyle name="Normal 98 2 4" xfId="716"/>
    <cellStyle name="Normal 98 2 5" xfId="717"/>
    <cellStyle name="Normal 98 2 6" xfId="718"/>
    <cellStyle name="Normal 98 2 7" xfId="719"/>
    <cellStyle name="Normal 98 2 8" xfId="720"/>
    <cellStyle name="Normal 98 2 9" xfId="721"/>
    <cellStyle name="Normal 99" xfId="722"/>
    <cellStyle name="Normale_Foglio1" xfId="723"/>
    <cellStyle name="Note 2" xfId="724"/>
    <cellStyle name="Note 3" xfId="725"/>
    <cellStyle name="Note 4" xfId="726"/>
    <cellStyle name="Note 5" xfId="727"/>
    <cellStyle name="Note 6" xfId="728"/>
    <cellStyle name="Note 7" xfId="729"/>
    <cellStyle name="Obliczenia" xfId="730"/>
    <cellStyle name="Output 2" xfId="731"/>
    <cellStyle name="Output 3" xfId="732"/>
    <cellStyle name="Output 4" xfId="733"/>
    <cellStyle name="Output 5" xfId="734"/>
    <cellStyle name="Output 6" xfId="735"/>
    <cellStyle name="Output 7" xfId="736"/>
    <cellStyle name="SAPBEXstdItem" xfId="737"/>
    <cellStyle name="Style 1" xfId="738"/>
    <cellStyle name="Suma" xfId="739"/>
    <cellStyle name="Tekst objaśnienia" xfId="740"/>
    <cellStyle name="Tekst ostrzeżenia" xfId="741"/>
    <cellStyle name="Title 2" xfId="742"/>
    <cellStyle name="Title 3" xfId="743"/>
    <cellStyle name="Title 4" xfId="744"/>
    <cellStyle name="Title 5" xfId="745"/>
    <cellStyle name="Title 6" xfId="746"/>
    <cellStyle name="Title 7" xfId="747"/>
    <cellStyle name="Total 2" xfId="748"/>
    <cellStyle name="Total 3" xfId="749"/>
    <cellStyle name="Total 4" xfId="750"/>
    <cellStyle name="Total 5" xfId="751"/>
    <cellStyle name="Total 6" xfId="752"/>
    <cellStyle name="Total 7" xfId="753"/>
    <cellStyle name="Tytuł" xfId="754"/>
    <cellStyle name="Uwaga" xfId="755"/>
    <cellStyle name="Warning Text 2" xfId="756"/>
    <cellStyle name="Warning Text 3" xfId="757"/>
    <cellStyle name="Warning Text 4" xfId="758"/>
    <cellStyle name="Warning Text 5" xfId="759"/>
    <cellStyle name="Warning Text 6" xfId="760"/>
    <cellStyle name="Warning Text 7" xfId="761"/>
    <cellStyle name="Złe" xfId="762"/>
    <cellStyle name="常规_Label" xfId="763"/>
    <cellStyle name="標準_FL0B013KS・31KS" xfId="764"/>
  </cellStyles>
  <dxfs count="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tem12\Documents\&#61473;1.%20DESIGN\-0%20BTS%202012\Range%20List\BTS12%20Range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s"/>
      <sheetName val="Ladies"/>
      <sheetName val="Kids"/>
      <sheetName val="Sell costs"/>
      <sheetName val="LDP costs"/>
      <sheetName val="Model - mens"/>
      <sheetName val="Model - ladies"/>
      <sheetName val="Factories"/>
      <sheetName val="Model - kids"/>
      <sheetName val="Mens CORE"/>
      <sheetName val="Ladies CORE"/>
      <sheetName val="Kids CORE"/>
      <sheetName val="Model - mens CORE"/>
      <sheetName val="Model - ladies CORE"/>
      <sheetName val="Model - kids CO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A.Pinto</v>
          </cell>
        </row>
        <row r="2">
          <cell r="A2" t="str">
            <v>AVT</v>
          </cell>
          <cell r="O2" t="str">
            <v>Leather</v>
          </cell>
        </row>
        <row r="3">
          <cell r="A3" t="str">
            <v>CliqueC</v>
          </cell>
          <cell r="O3" t="str">
            <v>Textile</v>
          </cell>
        </row>
        <row r="4">
          <cell r="A4" t="str">
            <v>CliqueP</v>
          </cell>
          <cell r="O4" t="str">
            <v>Synthetic</v>
          </cell>
        </row>
        <row r="5">
          <cell r="A5" t="str">
            <v>Kaiyang / T.A.</v>
          </cell>
          <cell r="O5" t="str">
            <v>Leather/Textile</v>
          </cell>
        </row>
        <row r="6">
          <cell r="A6" t="str">
            <v>Mohib</v>
          </cell>
          <cell r="O6" t="str">
            <v>Textile/Leather</v>
          </cell>
        </row>
        <row r="7">
          <cell r="A7" t="str">
            <v>NMH</v>
          </cell>
          <cell r="O7" t="str">
            <v>Synthetic/Textile</v>
          </cell>
        </row>
        <row r="8">
          <cell r="A8" t="str">
            <v>PA</v>
          </cell>
          <cell r="O8" t="str">
            <v>Textile/Synthetic</v>
          </cell>
        </row>
        <row r="9">
          <cell r="A9" t="str">
            <v>Phouc Bin</v>
          </cell>
        </row>
        <row r="10">
          <cell r="A10" t="str">
            <v>Ramraj</v>
          </cell>
        </row>
        <row r="11">
          <cell r="A11" t="str">
            <v>SRA / Alpina</v>
          </cell>
        </row>
        <row r="12">
          <cell r="A12" t="str">
            <v>SuperhouseA</v>
          </cell>
        </row>
        <row r="13">
          <cell r="A13" t="str">
            <v>SuperhouseU</v>
          </cell>
        </row>
        <row r="14">
          <cell r="A14" t="str">
            <v>Texas</v>
          </cell>
        </row>
        <row r="15">
          <cell r="A15" t="str">
            <v>Bangladesh</v>
          </cell>
        </row>
        <row r="16">
          <cell r="A16" t="str">
            <v>Epoch</v>
          </cell>
        </row>
        <row r="17">
          <cell r="A17" t="str">
            <v>Good Leather</v>
          </cell>
        </row>
        <row r="18">
          <cell r="A18" t="str">
            <v>Nivekasia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8"/>
  <sheetViews>
    <sheetView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4"/>
  <cols>
    <col min="1" max="1" width="10.33203125" customWidth="1"/>
    <col min="2" max="2" width="11" bestFit="1" customWidth="1"/>
    <col min="3" max="3" width="14" customWidth="1"/>
    <col min="4" max="4" width="13.109375" customWidth="1"/>
    <col min="5" max="5" width="5.5546875" customWidth="1"/>
    <col min="6" max="6" width="10.44140625" customWidth="1"/>
    <col min="7" max="7" width="11.44140625" customWidth="1"/>
    <col min="8" max="8" width="39.33203125" customWidth="1"/>
    <col min="9" max="9" width="21.6640625" customWidth="1"/>
    <col min="10" max="10" width="5.44140625" customWidth="1"/>
    <col min="11" max="11" width="7.109375" customWidth="1"/>
    <col min="12" max="12" width="10.44140625" customWidth="1"/>
    <col min="13" max="13" width="9.109375" bestFit="1" customWidth="1"/>
    <col min="14" max="15" width="8.5546875" customWidth="1"/>
    <col min="16" max="16" width="9.88671875" customWidth="1"/>
    <col min="17" max="17" width="6.44140625" customWidth="1"/>
    <col min="18" max="18" width="6.88671875" customWidth="1"/>
    <col min="19" max="19" width="6.44140625" customWidth="1"/>
    <col min="20" max="20" width="8.5546875" customWidth="1"/>
    <col min="21" max="22" width="7.6640625" customWidth="1"/>
    <col min="23" max="23" width="12.5546875" bestFit="1" customWidth="1"/>
    <col min="24" max="24" width="12.5546875" customWidth="1"/>
    <col min="25" max="25" width="12.44140625" customWidth="1"/>
    <col min="27" max="27" width="6.44140625" customWidth="1"/>
    <col min="28" max="28" width="8.5546875" customWidth="1"/>
    <col min="31" max="31" width="4.6640625" customWidth="1"/>
  </cols>
  <sheetData>
    <row r="1" spans="1:33" s="3" customFormat="1" ht="45.75" customHeight="1">
      <c r="A1" s="2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7" t="s">
        <v>43</v>
      </c>
      <c r="O1" s="17" t="s">
        <v>44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AA1" s="1"/>
      <c r="AB1" s="1" t="s">
        <v>44</v>
      </c>
    </row>
    <row r="2" spans="1:33">
      <c r="A2" s="81" t="s">
        <v>82</v>
      </c>
      <c r="B2" s="51" t="s">
        <v>85</v>
      </c>
      <c r="C2" s="51" t="s">
        <v>89</v>
      </c>
      <c r="D2" s="51" t="s">
        <v>90</v>
      </c>
      <c r="E2" s="51" t="s">
        <v>91</v>
      </c>
      <c r="F2" s="52">
        <v>46122</v>
      </c>
      <c r="G2" s="52">
        <v>46129</v>
      </c>
      <c r="H2" s="51" t="s">
        <v>144</v>
      </c>
      <c r="I2" s="51" t="s">
        <v>83</v>
      </c>
      <c r="J2" s="79" t="s">
        <v>78</v>
      </c>
      <c r="K2" s="79" t="s">
        <v>171</v>
      </c>
      <c r="L2" s="75">
        <f t="shared" ref="L2:L52" si="0">M2*K2</f>
        <v>30</v>
      </c>
      <c r="M2" s="80">
        <v>2</v>
      </c>
      <c r="N2" s="54">
        <v>0</v>
      </c>
      <c r="O2" s="54">
        <v>0</v>
      </c>
      <c r="P2" s="76">
        <v>49.7</v>
      </c>
      <c r="Q2" s="76">
        <v>47.4</v>
      </c>
      <c r="R2" s="76">
        <v>17</v>
      </c>
      <c r="S2" s="76">
        <v>32.4</v>
      </c>
      <c r="T2" s="77">
        <f>M2*Q2*R2*S2/1000000</f>
        <v>5.2215839999999999E-2</v>
      </c>
      <c r="U2" s="78">
        <v>10.327999999999999</v>
      </c>
      <c r="V2" s="78">
        <v>9.6999999999999993</v>
      </c>
      <c r="W2" s="78">
        <f>M2*U2</f>
        <v>20.655999999999999</v>
      </c>
      <c r="X2" s="78">
        <f>V2*M2</f>
        <v>19.399999999999999</v>
      </c>
      <c r="Y2" s="74" t="s">
        <v>45</v>
      </c>
      <c r="Z2" s="53"/>
      <c r="AA2" s="21"/>
      <c r="AB2" s="49"/>
      <c r="AC2" s="64"/>
      <c r="AD2" s="50"/>
      <c r="AE2" s="48"/>
      <c r="AF2" s="48"/>
      <c r="AG2" s="48"/>
    </row>
    <row r="3" spans="1:33">
      <c r="A3" s="82"/>
      <c r="B3" s="51" t="s">
        <v>85</v>
      </c>
      <c r="C3" s="51" t="s">
        <v>92</v>
      </c>
      <c r="D3" s="51" t="s">
        <v>93</v>
      </c>
      <c r="E3" s="51" t="s">
        <v>91</v>
      </c>
      <c r="F3" s="52">
        <v>46122</v>
      </c>
      <c r="G3" s="52">
        <v>46129</v>
      </c>
      <c r="H3" s="51" t="s">
        <v>145</v>
      </c>
      <c r="I3" s="51" t="s">
        <v>83</v>
      </c>
      <c r="J3" s="79" t="s">
        <v>78</v>
      </c>
      <c r="K3" s="79" t="s">
        <v>172</v>
      </c>
      <c r="L3" s="75">
        <f t="shared" si="0"/>
        <v>104</v>
      </c>
      <c r="M3" s="80">
        <v>4</v>
      </c>
      <c r="N3" s="54">
        <v>0</v>
      </c>
      <c r="O3" s="54">
        <v>0</v>
      </c>
      <c r="P3" s="76">
        <v>91.07</v>
      </c>
      <c r="Q3" s="76">
        <v>27.4</v>
      </c>
      <c r="R3" s="76">
        <v>24.4</v>
      </c>
      <c r="S3" s="76">
        <v>32</v>
      </c>
      <c r="T3" s="77">
        <f t="shared" ref="T3:T52" si="1">M3*Q3*R3*S3/1000000</f>
        <v>8.5575679999999987E-2</v>
      </c>
      <c r="U3" s="78">
        <v>8.8079999999999998</v>
      </c>
      <c r="V3" s="78">
        <v>8.3000000000000007</v>
      </c>
      <c r="W3" s="78">
        <f t="shared" ref="W3:W52" si="2">M3*U3</f>
        <v>35.231999999999999</v>
      </c>
      <c r="X3" s="78">
        <f t="shared" ref="X3:X52" si="3">V3*M3</f>
        <v>33.200000000000003</v>
      </c>
      <c r="Y3" s="74" t="s">
        <v>45</v>
      </c>
      <c r="Z3" s="53"/>
      <c r="AA3" s="21"/>
      <c r="AB3" s="49"/>
      <c r="AC3" s="64"/>
      <c r="AD3" s="50"/>
      <c r="AE3" s="48"/>
      <c r="AF3" s="48"/>
      <c r="AG3" s="48"/>
    </row>
    <row r="4" spans="1:33">
      <c r="A4" s="82"/>
      <c r="B4" s="51" t="s">
        <v>85</v>
      </c>
      <c r="C4" s="51" t="s">
        <v>94</v>
      </c>
      <c r="D4" s="51" t="s">
        <v>95</v>
      </c>
      <c r="E4" s="51" t="s">
        <v>91</v>
      </c>
      <c r="F4" s="52">
        <v>46122</v>
      </c>
      <c r="G4" s="52">
        <v>46129</v>
      </c>
      <c r="H4" s="51" t="s">
        <v>146</v>
      </c>
      <c r="I4" s="51" t="s">
        <v>83</v>
      </c>
      <c r="J4" s="79" t="s">
        <v>78</v>
      </c>
      <c r="K4" s="79" t="s">
        <v>79</v>
      </c>
      <c r="L4" s="75">
        <f t="shared" si="0"/>
        <v>17536</v>
      </c>
      <c r="M4" s="80">
        <v>2192</v>
      </c>
      <c r="N4" s="54">
        <v>0</v>
      </c>
      <c r="O4" s="54">
        <v>0</v>
      </c>
      <c r="P4" s="76">
        <v>22072.560000000001</v>
      </c>
      <c r="Q4" s="76">
        <v>24.6</v>
      </c>
      <c r="R4" s="76">
        <v>22.3</v>
      </c>
      <c r="S4" s="76">
        <v>31.6</v>
      </c>
      <c r="T4" s="77">
        <f t="shared" si="1"/>
        <v>37.998600576000008</v>
      </c>
      <c r="U4" s="78">
        <v>6.9740000000000002</v>
      </c>
      <c r="V4" s="78">
        <v>6.3840000000000003</v>
      </c>
      <c r="W4" s="78">
        <f t="shared" si="2"/>
        <v>15287.008</v>
      </c>
      <c r="X4" s="78">
        <f t="shared" si="3"/>
        <v>13993.728000000001</v>
      </c>
      <c r="Y4" s="74" t="s">
        <v>45</v>
      </c>
      <c r="Z4" s="53"/>
      <c r="AA4" s="21"/>
      <c r="AB4" s="49"/>
      <c r="AC4" s="64"/>
      <c r="AD4" s="50"/>
      <c r="AE4" s="48"/>
      <c r="AF4" s="48"/>
      <c r="AG4" s="48"/>
    </row>
    <row r="5" spans="1:33">
      <c r="A5" s="83"/>
      <c r="B5" s="51" t="s">
        <v>85</v>
      </c>
      <c r="C5" s="51" t="s">
        <v>96</v>
      </c>
      <c r="D5" s="51" t="s">
        <v>97</v>
      </c>
      <c r="E5" s="51" t="s">
        <v>91</v>
      </c>
      <c r="F5" s="52">
        <v>46122</v>
      </c>
      <c r="G5" s="52">
        <v>46129</v>
      </c>
      <c r="H5" s="51" t="s">
        <v>147</v>
      </c>
      <c r="I5" s="51" t="s">
        <v>83</v>
      </c>
      <c r="J5" s="79" t="s">
        <v>78</v>
      </c>
      <c r="K5" s="79" t="s">
        <v>173</v>
      </c>
      <c r="L5" s="75">
        <f t="shared" si="0"/>
        <v>2200</v>
      </c>
      <c r="M5" s="80">
        <v>550</v>
      </c>
      <c r="N5" s="54">
        <v>0</v>
      </c>
      <c r="O5" s="54">
        <v>0</v>
      </c>
      <c r="P5" s="76">
        <v>13034.04</v>
      </c>
      <c r="Q5" s="76">
        <v>24.6</v>
      </c>
      <c r="R5" s="76">
        <v>22.4</v>
      </c>
      <c r="S5" s="76">
        <v>32.5</v>
      </c>
      <c r="T5" s="77">
        <f t="shared" si="1"/>
        <v>9.8498400000000004</v>
      </c>
      <c r="U5" s="78">
        <v>6.96</v>
      </c>
      <c r="V5" s="78">
        <v>6.54</v>
      </c>
      <c r="W5" s="78">
        <f t="shared" si="2"/>
        <v>3828</v>
      </c>
      <c r="X5" s="78">
        <f t="shared" si="3"/>
        <v>3597</v>
      </c>
      <c r="Y5" s="74" t="s">
        <v>45</v>
      </c>
      <c r="Z5" s="53"/>
      <c r="AA5" s="21"/>
      <c r="AB5" s="49"/>
      <c r="AC5" s="64"/>
      <c r="AD5" s="50"/>
      <c r="AE5" s="48"/>
      <c r="AF5" s="48"/>
      <c r="AG5" s="48"/>
    </row>
    <row r="6" spans="1:33">
      <c r="A6" s="55"/>
      <c r="B6" s="18"/>
      <c r="C6" s="18"/>
      <c r="D6" s="18"/>
      <c r="E6" s="18"/>
      <c r="F6" s="56"/>
      <c r="G6" s="56"/>
      <c r="H6" s="18"/>
      <c r="I6" s="18"/>
      <c r="J6" s="57"/>
      <c r="K6" s="57"/>
      <c r="L6" s="58">
        <f>SUM(L2:L5)</f>
        <v>19870</v>
      </c>
      <c r="M6" s="58">
        <f>SUM(M2:M5)</f>
        <v>2748</v>
      </c>
      <c r="N6" s="19"/>
      <c r="O6" s="19"/>
      <c r="P6" s="59"/>
      <c r="Q6" s="59"/>
      <c r="R6" s="59"/>
      <c r="S6" s="59"/>
      <c r="T6" s="63">
        <f>SUM(T2:T5)</f>
        <v>47.986232096000009</v>
      </c>
      <c r="U6" s="60"/>
      <c r="V6" s="60"/>
      <c r="W6" s="70">
        <f>SUM(W2:W5)</f>
        <v>19170.896000000001</v>
      </c>
      <c r="X6" s="70">
        <f>SUM(X2:X5)</f>
        <v>17643.328000000001</v>
      </c>
      <c r="Y6" s="57"/>
      <c r="Z6" s="53" t="s">
        <v>181</v>
      </c>
      <c r="AA6" s="21"/>
      <c r="AB6" s="61"/>
      <c r="AC6" s="65"/>
      <c r="AD6" s="50"/>
      <c r="AE6" s="62"/>
      <c r="AF6" s="62"/>
      <c r="AG6" s="62"/>
    </row>
    <row r="7" spans="1:33">
      <c r="A7" s="55"/>
      <c r="B7" s="18"/>
      <c r="C7" s="18"/>
      <c r="D7" s="18"/>
      <c r="E7" s="18"/>
      <c r="F7" s="56"/>
      <c r="G7" s="56"/>
      <c r="H7" s="18"/>
      <c r="I7" s="18"/>
      <c r="J7" s="57"/>
      <c r="K7" s="57"/>
      <c r="L7" s="58"/>
      <c r="M7" s="58"/>
      <c r="N7" s="19"/>
      <c r="O7" s="19"/>
      <c r="P7" s="59"/>
      <c r="Q7" s="59"/>
      <c r="R7" s="59"/>
      <c r="S7" s="59"/>
      <c r="T7" s="63"/>
      <c r="U7" s="60"/>
      <c r="V7" s="60"/>
      <c r="W7" s="70"/>
      <c r="X7" s="70"/>
      <c r="Y7" s="57"/>
      <c r="Z7" s="53"/>
      <c r="AA7" s="21"/>
      <c r="AB7" s="61"/>
      <c r="AC7" s="65"/>
      <c r="AD7" s="50"/>
      <c r="AE7" s="62"/>
      <c r="AF7" s="62"/>
      <c r="AG7" s="62"/>
    </row>
    <row r="8" spans="1:33">
      <c r="A8" s="84" t="s">
        <v>180</v>
      </c>
      <c r="B8" s="51" t="s">
        <v>85</v>
      </c>
      <c r="C8" s="51" t="s">
        <v>96</v>
      </c>
      <c r="D8" s="51" t="s">
        <v>97</v>
      </c>
      <c r="E8" s="51" t="s">
        <v>91</v>
      </c>
      <c r="F8" s="52">
        <v>46122</v>
      </c>
      <c r="G8" s="52">
        <v>46129</v>
      </c>
      <c r="H8" s="51" t="s">
        <v>147</v>
      </c>
      <c r="I8" s="51" t="s">
        <v>83</v>
      </c>
      <c r="J8" s="79" t="s">
        <v>78</v>
      </c>
      <c r="K8" s="79" t="s">
        <v>173</v>
      </c>
      <c r="L8" s="75">
        <f t="shared" ref="L8" si="4">M8*K8</f>
        <v>2952</v>
      </c>
      <c r="M8" s="80">
        <f>1288-M5</f>
        <v>738</v>
      </c>
      <c r="N8" s="54">
        <v>0</v>
      </c>
      <c r="O8" s="54">
        <v>0</v>
      </c>
      <c r="P8" s="76">
        <v>13034.04</v>
      </c>
      <c r="Q8" s="76">
        <v>24.6</v>
      </c>
      <c r="R8" s="76">
        <v>22.4</v>
      </c>
      <c r="S8" s="76">
        <v>32.5</v>
      </c>
      <c r="T8" s="77">
        <f t="shared" ref="T8" si="5">M8*Q8*R8*S8/1000000</f>
        <v>13.216694399999998</v>
      </c>
      <c r="U8" s="78">
        <v>6.96</v>
      </c>
      <c r="V8" s="78">
        <v>6.54</v>
      </c>
      <c r="W8" s="78">
        <f t="shared" ref="W8" si="6">M8*U8</f>
        <v>5136.4799999999996</v>
      </c>
      <c r="X8" s="78">
        <f t="shared" ref="X8" si="7">V8*M8</f>
        <v>4826.5200000000004</v>
      </c>
      <c r="Y8" s="74" t="s">
        <v>45</v>
      </c>
      <c r="Z8" s="53"/>
      <c r="AA8" s="21"/>
      <c r="AB8" s="49"/>
      <c r="AC8" s="64"/>
      <c r="AD8" s="50"/>
      <c r="AE8" s="48"/>
      <c r="AF8" s="48"/>
      <c r="AG8" s="48"/>
    </row>
    <row r="9" spans="1:33">
      <c r="A9" s="84"/>
      <c r="B9" s="51" t="s">
        <v>86</v>
      </c>
      <c r="C9" s="51" t="s">
        <v>98</v>
      </c>
      <c r="D9" s="51" t="s">
        <v>99</v>
      </c>
      <c r="E9" s="51" t="s">
        <v>91</v>
      </c>
      <c r="F9" s="52">
        <v>46122</v>
      </c>
      <c r="G9" s="52">
        <v>46129</v>
      </c>
      <c r="H9" s="51" t="s">
        <v>148</v>
      </c>
      <c r="I9" s="51" t="s">
        <v>83</v>
      </c>
      <c r="J9" s="79" t="s">
        <v>78</v>
      </c>
      <c r="K9" s="79" t="s">
        <v>173</v>
      </c>
      <c r="L9" s="75">
        <f t="shared" si="0"/>
        <v>1940</v>
      </c>
      <c r="M9" s="80">
        <v>485</v>
      </c>
      <c r="N9" s="54">
        <v>0</v>
      </c>
      <c r="O9" s="54">
        <v>0</v>
      </c>
      <c r="P9" s="76">
        <v>5168.74</v>
      </c>
      <c r="Q9" s="76">
        <v>33.700000000000003</v>
      </c>
      <c r="R9" s="76">
        <v>19.8</v>
      </c>
      <c r="S9" s="76">
        <v>16.2</v>
      </c>
      <c r="T9" s="77">
        <f t="shared" si="1"/>
        <v>5.2426618200000004</v>
      </c>
      <c r="U9" s="78">
        <v>5.73</v>
      </c>
      <c r="V9" s="78">
        <v>5.36</v>
      </c>
      <c r="W9" s="78">
        <f t="shared" si="2"/>
        <v>2779.05</v>
      </c>
      <c r="X9" s="78">
        <f t="shared" si="3"/>
        <v>2599.6000000000004</v>
      </c>
      <c r="Y9" s="74" t="s">
        <v>45</v>
      </c>
      <c r="Z9" s="53"/>
      <c r="AA9" s="21"/>
      <c r="AB9" s="61"/>
      <c r="AC9" s="65"/>
      <c r="AD9" s="50"/>
      <c r="AE9" s="62"/>
      <c r="AF9" s="62"/>
      <c r="AG9" s="62"/>
    </row>
    <row r="10" spans="1:33">
      <c r="A10" s="84"/>
      <c r="B10" s="51" t="s">
        <v>87</v>
      </c>
      <c r="C10" s="51" t="s">
        <v>100</v>
      </c>
      <c r="D10" s="51" t="s">
        <v>101</v>
      </c>
      <c r="E10" s="51" t="s">
        <v>91</v>
      </c>
      <c r="F10" s="52">
        <v>46122</v>
      </c>
      <c r="G10" s="52">
        <v>46129</v>
      </c>
      <c r="H10" s="51" t="s">
        <v>149</v>
      </c>
      <c r="I10" s="51" t="s">
        <v>83</v>
      </c>
      <c r="J10" s="79" t="s">
        <v>78</v>
      </c>
      <c r="K10" s="79" t="s">
        <v>81</v>
      </c>
      <c r="L10" s="75">
        <f t="shared" si="0"/>
        <v>5898</v>
      </c>
      <c r="M10" s="80">
        <v>983</v>
      </c>
      <c r="N10" s="54">
        <v>0</v>
      </c>
      <c r="O10" s="54">
        <v>0</v>
      </c>
      <c r="P10" s="76">
        <v>15693.4</v>
      </c>
      <c r="Q10" s="76">
        <v>27.8</v>
      </c>
      <c r="R10" s="76">
        <v>13.9</v>
      </c>
      <c r="S10" s="76">
        <v>29.9</v>
      </c>
      <c r="T10" s="77">
        <f t="shared" si="1"/>
        <v>11.357540714000002</v>
      </c>
      <c r="U10" s="78">
        <v>5.4320000000000004</v>
      </c>
      <c r="V10" s="78">
        <v>4.8440000000000003</v>
      </c>
      <c r="W10" s="78">
        <f t="shared" si="2"/>
        <v>5339.6559999999999</v>
      </c>
      <c r="X10" s="78">
        <f t="shared" si="3"/>
        <v>4761.652</v>
      </c>
      <c r="Y10" s="74" t="s">
        <v>45</v>
      </c>
      <c r="Z10" s="53"/>
      <c r="AA10" s="21"/>
      <c r="AB10" s="61"/>
      <c r="AC10" s="65"/>
      <c r="AD10" s="50"/>
      <c r="AE10" s="62"/>
      <c r="AF10" s="62"/>
      <c r="AG10" s="62"/>
    </row>
    <row r="11" spans="1:33">
      <c r="A11" s="84"/>
      <c r="B11" s="51" t="s">
        <v>88</v>
      </c>
      <c r="C11" s="51" t="s">
        <v>102</v>
      </c>
      <c r="D11" s="51" t="s">
        <v>103</v>
      </c>
      <c r="E11" s="51" t="s">
        <v>91</v>
      </c>
      <c r="F11" s="52">
        <v>46122</v>
      </c>
      <c r="G11" s="52">
        <v>46129</v>
      </c>
      <c r="H11" s="51" t="s">
        <v>150</v>
      </c>
      <c r="I11" s="51" t="s">
        <v>83</v>
      </c>
      <c r="J11" s="79" t="s">
        <v>78</v>
      </c>
      <c r="K11" s="79" t="s">
        <v>174</v>
      </c>
      <c r="L11" s="75">
        <f t="shared" ref="L11" si="8">M11*K11</f>
        <v>87360</v>
      </c>
      <c r="M11" s="80">
        <v>2730</v>
      </c>
      <c r="N11" s="54">
        <v>0</v>
      </c>
      <c r="O11" s="54">
        <v>0</v>
      </c>
      <c r="P11" s="76">
        <v>20574.27</v>
      </c>
      <c r="Q11" s="76">
        <v>25.5</v>
      </c>
      <c r="R11" s="76">
        <v>13.4</v>
      </c>
      <c r="S11" s="76">
        <v>30.4</v>
      </c>
      <c r="T11" s="77">
        <f t="shared" ref="T11" si="9">M11*Q11*R11*S11/1000000</f>
        <v>28.358366399999998</v>
      </c>
      <c r="U11" s="78">
        <v>2.2280000000000002</v>
      </c>
      <c r="V11" s="78">
        <v>1.85</v>
      </c>
      <c r="W11" s="78">
        <f t="shared" ref="W11" si="10">M11*U11</f>
        <v>6082.4400000000005</v>
      </c>
      <c r="X11" s="78">
        <f t="shared" ref="X11" si="11">V11*M11</f>
        <v>5050.5</v>
      </c>
      <c r="Y11" s="74" t="s">
        <v>84</v>
      </c>
      <c r="Z11" s="53"/>
      <c r="AA11" s="21"/>
      <c r="AB11" s="61"/>
      <c r="AC11" s="65"/>
      <c r="AD11" s="50"/>
      <c r="AE11" s="62"/>
      <c r="AF11" s="62"/>
      <c r="AG11" s="62"/>
    </row>
    <row r="12" spans="1:33">
      <c r="A12" s="55"/>
      <c r="B12" s="18"/>
      <c r="C12" s="18"/>
      <c r="D12" s="18"/>
      <c r="E12" s="18"/>
      <c r="F12" s="56"/>
      <c r="G12" s="56"/>
      <c r="H12" s="18"/>
      <c r="I12" s="18"/>
      <c r="J12" s="57"/>
      <c r="K12" s="57"/>
      <c r="L12" s="58">
        <f>SUM(L8:L11)</f>
        <v>98150</v>
      </c>
      <c r="M12" s="58">
        <f>SUM(M8:M11)</f>
        <v>4936</v>
      </c>
      <c r="N12" s="19"/>
      <c r="O12" s="19"/>
      <c r="P12" s="59"/>
      <c r="Q12" s="59"/>
      <c r="R12" s="59"/>
      <c r="S12" s="59"/>
      <c r="T12" s="63">
        <f>SUM(T8:T11)</f>
        <v>58.175263333999993</v>
      </c>
      <c r="U12" s="60"/>
      <c r="V12" s="60"/>
      <c r="W12" s="70">
        <f>SUM(W8:W11)</f>
        <v>19337.626</v>
      </c>
      <c r="X12" s="70">
        <f>SUM(X8:X11)</f>
        <v>17238.272000000001</v>
      </c>
      <c r="Y12" s="57"/>
      <c r="Z12" s="53" t="s">
        <v>181</v>
      </c>
      <c r="AA12" s="21"/>
      <c r="AB12" s="61"/>
      <c r="AC12" s="65"/>
      <c r="AD12" s="50"/>
      <c r="AE12" s="62"/>
      <c r="AF12" s="62"/>
      <c r="AG12" s="62"/>
    </row>
    <row r="13" spans="1:33">
      <c r="A13" s="55"/>
      <c r="B13" s="18"/>
      <c r="C13" s="18"/>
      <c r="D13" s="18"/>
      <c r="E13" s="18"/>
      <c r="F13" s="56"/>
      <c r="G13" s="56"/>
      <c r="H13" s="18"/>
      <c r="I13" s="18"/>
      <c r="J13" s="57"/>
      <c r="K13" s="57"/>
      <c r="L13" s="58"/>
      <c r="M13" s="58"/>
      <c r="N13" s="19"/>
      <c r="O13" s="19"/>
      <c r="P13" s="59"/>
      <c r="Q13" s="59"/>
      <c r="R13" s="59"/>
      <c r="S13" s="59"/>
      <c r="T13" s="63"/>
      <c r="U13" s="60"/>
      <c r="V13" s="60"/>
      <c r="W13" s="70"/>
      <c r="X13" s="70"/>
      <c r="Y13" s="57"/>
      <c r="Z13" s="53"/>
      <c r="AA13" s="21"/>
      <c r="AB13" s="61"/>
      <c r="AC13" s="65"/>
      <c r="AD13" s="50"/>
      <c r="AE13" s="62"/>
      <c r="AF13" s="62"/>
      <c r="AG13" s="62"/>
    </row>
    <row r="14" spans="1:33">
      <c r="A14" s="81" t="s">
        <v>180</v>
      </c>
      <c r="B14" s="51" t="s">
        <v>88</v>
      </c>
      <c r="C14" s="51" t="s">
        <v>102</v>
      </c>
      <c r="D14" s="51" t="s">
        <v>103</v>
      </c>
      <c r="E14" s="51" t="s">
        <v>91</v>
      </c>
      <c r="F14" s="52">
        <v>46122</v>
      </c>
      <c r="G14" s="52">
        <v>46129</v>
      </c>
      <c r="H14" s="51" t="s">
        <v>150</v>
      </c>
      <c r="I14" s="51" t="s">
        <v>83</v>
      </c>
      <c r="J14" s="79" t="s">
        <v>78</v>
      </c>
      <c r="K14" s="79" t="s">
        <v>174</v>
      </c>
      <c r="L14" s="75">
        <f t="shared" ref="L14" si="12">M14*K14</f>
        <v>2720</v>
      </c>
      <c r="M14" s="80">
        <f>2815-M11</f>
        <v>85</v>
      </c>
      <c r="N14" s="54">
        <v>0</v>
      </c>
      <c r="O14" s="54">
        <v>0</v>
      </c>
      <c r="P14" s="76">
        <v>20574.27</v>
      </c>
      <c r="Q14" s="76">
        <v>25.5</v>
      </c>
      <c r="R14" s="76">
        <v>13.4</v>
      </c>
      <c r="S14" s="76">
        <v>30.4</v>
      </c>
      <c r="T14" s="77">
        <f t="shared" ref="T14" si="13">M14*Q14*R14*S14/1000000</f>
        <v>0.88295279999999998</v>
      </c>
      <c r="U14" s="78">
        <v>2.2280000000000002</v>
      </c>
      <c r="V14" s="78">
        <v>1.85</v>
      </c>
      <c r="W14" s="78">
        <f t="shared" ref="W14" si="14">M14*U14</f>
        <v>189.38000000000002</v>
      </c>
      <c r="X14" s="78">
        <f t="shared" ref="X14" si="15">V14*M14</f>
        <v>157.25</v>
      </c>
      <c r="Y14" s="74" t="s">
        <v>84</v>
      </c>
      <c r="Z14" s="53"/>
      <c r="AA14" s="21"/>
      <c r="AB14" s="61"/>
      <c r="AC14" s="65"/>
      <c r="AD14" s="50"/>
      <c r="AE14" s="62"/>
      <c r="AF14" s="62"/>
      <c r="AG14" s="62"/>
    </row>
    <row r="15" spans="1:33">
      <c r="A15" s="82"/>
      <c r="B15" s="51" t="s">
        <v>88</v>
      </c>
      <c r="C15" s="51" t="s">
        <v>104</v>
      </c>
      <c r="D15" s="51" t="s">
        <v>105</v>
      </c>
      <c r="E15" s="51" t="s">
        <v>91</v>
      </c>
      <c r="F15" s="52">
        <v>46122</v>
      </c>
      <c r="G15" s="52">
        <v>46129</v>
      </c>
      <c r="H15" s="51" t="s">
        <v>151</v>
      </c>
      <c r="I15" s="51" t="s">
        <v>83</v>
      </c>
      <c r="J15" s="79" t="s">
        <v>78</v>
      </c>
      <c r="K15" s="79" t="s">
        <v>174</v>
      </c>
      <c r="L15" s="75">
        <f t="shared" si="0"/>
        <v>96288</v>
      </c>
      <c r="M15" s="80">
        <v>3009</v>
      </c>
      <c r="N15" s="54">
        <v>0</v>
      </c>
      <c r="O15" s="54">
        <v>0</v>
      </c>
      <c r="P15" s="76">
        <v>23465.39</v>
      </c>
      <c r="Q15" s="76">
        <v>25.5</v>
      </c>
      <c r="R15" s="76">
        <v>13.4</v>
      </c>
      <c r="S15" s="76">
        <v>30.4</v>
      </c>
      <c r="T15" s="77">
        <f t="shared" si="1"/>
        <v>31.25652912</v>
      </c>
      <c r="U15" s="78">
        <v>2.2280000000000002</v>
      </c>
      <c r="V15" s="78">
        <v>1.85</v>
      </c>
      <c r="W15" s="78">
        <f t="shared" si="2"/>
        <v>6704.0520000000006</v>
      </c>
      <c r="X15" s="78">
        <f t="shared" si="3"/>
        <v>5566.6500000000005</v>
      </c>
      <c r="Y15" s="74" t="s">
        <v>84</v>
      </c>
      <c r="Z15" s="53"/>
      <c r="AA15" s="21"/>
      <c r="AB15" s="49"/>
      <c r="AC15" s="64"/>
      <c r="AD15" s="50"/>
      <c r="AE15" s="48"/>
      <c r="AF15" s="48"/>
      <c r="AG15" s="48"/>
    </row>
    <row r="16" spans="1:33" ht="15" customHeight="1">
      <c r="A16" s="82"/>
      <c r="B16" s="8" t="s">
        <v>88</v>
      </c>
      <c r="C16" s="8" t="s">
        <v>106</v>
      </c>
      <c r="D16" s="8" t="s">
        <v>107</v>
      </c>
      <c r="E16" s="8" t="s">
        <v>91</v>
      </c>
      <c r="F16" s="52">
        <v>46122</v>
      </c>
      <c r="G16" s="52">
        <v>46129</v>
      </c>
      <c r="H16" s="8" t="s">
        <v>152</v>
      </c>
      <c r="I16" s="8" t="s">
        <v>83</v>
      </c>
      <c r="J16" s="79" t="s">
        <v>78</v>
      </c>
      <c r="K16" s="79" t="s">
        <v>175</v>
      </c>
      <c r="L16" s="75">
        <f t="shared" si="0"/>
        <v>22644</v>
      </c>
      <c r="M16" s="80">
        <v>1258</v>
      </c>
      <c r="N16" s="54">
        <v>0</v>
      </c>
      <c r="O16" s="54">
        <v>0</v>
      </c>
      <c r="P16" s="76">
        <v>10207.92</v>
      </c>
      <c r="Q16" s="76">
        <v>30.4</v>
      </c>
      <c r="R16" s="76">
        <v>28</v>
      </c>
      <c r="S16" s="76">
        <v>30.5</v>
      </c>
      <c r="T16" s="77">
        <f t="shared" si="1"/>
        <v>32.659692799999995</v>
      </c>
      <c r="U16" s="78">
        <v>2.58</v>
      </c>
      <c r="V16" s="78">
        <v>2.0499999999999998</v>
      </c>
      <c r="W16" s="78">
        <f t="shared" si="2"/>
        <v>3245.64</v>
      </c>
      <c r="X16" s="78">
        <f t="shared" si="3"/>
        <v>2578.8999999999996</v>
      </c>
      <c r="Y16" s="74" t="s">
        <v>84</v>
      </c>
      <c r="Z16" s="18"/>
      <c r="AA16" s="20"/>
      <c r="AB16" s="50"/>
      <c r="AC16" s="66"/>
      <c r="AD16" s="50"/>
      <c r="AE16" s="48"/>
      <c r="AF16" s="48"/>
    </row>
    <row r="17" spans="1:33">
      <c r="A17" s="83"/>
      <c r="B17" s="51" t="s">
        <v>88</v>
      </c>
      <c r="C17" s="51" t="s">
        <v>108</v>
      </c>
      <c r="D17" s="51" t="s">
        <v>109</v>
      </c>
      <c r="E17" s="51" t="s">
        <v>91</v>
      </c>
      <c r="F17" s="52">
        <v>46122</v>
      </c>
      <c r="G17" s="52">
        <v>46129</v>
      </c>
      <c r="H17" s="51" t="s">
        <v>153</v>
      </c>
      <c r="I17" s="51" t="s">
        <v>83</v>
      </c>
      <c r="J17" s="79" t="s">
        <v>78</v>
      </c>
      <c r="K17" s="79" t="s">
        <v>176</v>
      </c>
      <c r="L17" s="75">
        <f t="shared" si="0"/>
        <v>1176</v>
      </c>
      <c r="M17" s="80">
        <v>21</v>
      </c>
      <c r="N17" s="54">
        <v>0</v>
      </c>
      <c r="O17" s="54">
        <v>0</v>
      </c>
      <c r="P17" s="76">
        <v>18025.41</v>
      </c>
      <c r="Q17" s="76">
        <v>25.6</v>
      </c>
      <c r="R17" s="76">
        <v>12.4</v>
      </c>
      <c r="S17" s="76">
        <v>30.4</v>
      </c>
      <c r="T17" s="77">
        <f t="shared" si="1"/>
        <v>0.20265369600000002</v>
      </c>
      <c r="U17" s="78">
        <v>3.11</v>
      </c>
      <c r="V17" s="78">
        <v>2.84</v>
      </c>
      <c r="W17" s="78">
        <f t="shared" si="2"/>
        <v>65.31</v>
      </c>
      <c r="X17" s="78">
        <f t="shared" si="3"/>
        <v>59.64</v>
      </c>
      <c r="Y17" s="74" t="s">
        <v>84</v>
      </c>
      <c r="Z17" s="53"/>
      <c r="AA17" s="21"/>
      <c r="AB17" s="61"/>
      <c r="AC17" s="65"/>
      <c r="AD17" s="50"/>
      <c r="AE17" s="62"/>
      <c r="AF17" s="62"/>
      <c r="AG17" s="62"/>
    </row>
    <row r="18" spans="1:33">
      <c r="A18" s="55"/>
      <c r="B18" s="18"/>
      <c r="C18" s="18"/>
      <c r="D18" s="18"/>
      <c r="E18" s="18"/>
      <c r="F18" s="56"/>
      <c r="G18" s="56"/>
      <c r="H18" s="18"/>
      <c r="I18" s="18"/>
      <c r="J18" s="57"/>
      <c r="K18" s="57"/>
      <c r="L18" s="58">
        <f>SUM(L14:L17)</f>
        <v>122828</v>
      </c>
      <c r="M18" s="58">
        <f>SUM(M14:M17)</f>
        <v>4373</v>
      </c>
      <c r="N18" s="19"/>
      <c r="O18" s="19"/>
      <c r="P18" s="59"/>
      <c r="Q18" s="59"/>
      <c r="R18" s="59"/>
      <c r="S18" s="59"/>
      <c r="T18" s="63">
        <f>SUM(T14:T17)</f>
        <v>65.001828415999995</v>
      </c>
      <c r="U18" s="60"/>
      <c r="V18" s="60"/>
      <c r="W18" s="70">
        <f>SUM(W14:W17)</f>
        <v>10204.382</v>
      </c>
      <c r="X18" s="70">
        <f>SUM(X14:X17)</f>
        <v>8362.4399999999987</v>
      </c>
      <c r="Y18" s="57"/>
      <c r="Z18" s="53" t="s">
        <v>181</v>
      </c>
      <c r="AA18" s="21"/>
      <c r="AB18" s="61"/>
      <c r="AC18" s="65"/>
      <c r="AD18" s="50"/>
      <c r="AE18" s="62"/>
      <c r="AF18" s="62"/>
      <c r="AG18" s="62"/>
    </row>
    <row r="19" spans="1:33">
      <c r="A19" s="55"/>
      <c r="B19" s="18"/>
      <c r="C19" s="18"/>
      <c r="D19" s="18"/>
      <c r="E19" s="18"/>
      <c r="F19" s="56"/>
      <c r="G19" s="56"/>
      <c r="H19" s="18"/>
      <c r="I19" s="18"/>
      <c r="J19" s="57"/>
      <c r="K19" s="57"/>
      <c r="L19" s="58"/>
      <c r="M19" s="58"/>
      <c r="N19" s="19"/>
      <c r="O19" s="19"/>
      <c r="P19" s="59"/>
      <c r="Q19" s="59"/>
      <c r="R19" s="59"/>
      <c r="S19" s="59"/>
      <c r="T19" s="63"/>
      <c r="U19" s="60"/>
      <c r="V19" s="60"/>
      <c r="W19" s="70"/>
      <c r="X19" s="70"/>
      <c r="Y19" s="57"/>
      <c r="Z19" s="53"/>
      <c r="AA19" s="21"/>
      <c r="AB19" s="61"/>
      <c r="AC19" s="65"/>
      <c r="AD19" s="50"/>
      <c r="AE19" s="62"/>
      <c r="AF19" s="62"/>
      <c r="AG19" s="62"/>
    </row>
    <row r="20" spans="1:33">
      <c r="A20" s="81" t="s">
        <v>180</v>
      </c>
      <c r="B20" s="51" t="s">
        <v>88</v>
      </c>
      <c r="C20" s="51" t="s">
        <v>108</v>
      </c>
      <c r="D20" s="51" t="s">
        <v>109</v>
      </c>
      <c r="E20" s="51" t="s">
        <v>91</v>
      </c>
      <c r="F20" s="52">
        <v>46122</v>
      </c>
      <c r="G20" s="52">
        <v>46129</v>
      </c>
      <c r="H20" s="51" t="s">
        <v>153</v>
      </c>
      <c r="I20" s="51" t="s">
        <v>83</v>
      </c>
      <c r="J20" s="79" t="s">
        <v>78</v>
      </c>
      <c r="K20" s="79" t="s">
        <v>176</v>
      </c>
      <c r="L20" s="75">
        <f t="shared" ref="L20" si="16">M20*K20</f>
        <v>97216</v>
      </c>
      <c r="M20" s="80">
        <f>1757-M17</f>
        <v>1736</v>
      </c>
      <c r="N20" s="54">
        <v>0</v>
      </c>
      <c r="O20" s="54">
        <v>0</v>
      </c>
      <c r="P20" s="76">
        <v>18025.41</v>
      </c>
      <c r="Q20" s="76">
        <v>25.6</v>
      </c>
      <c r="R20" s="76">
        <v>12.4</v>
      </c>
      <c r="S20" s="76">
        <v>30.4</v>
      </c>
      <c r="T20" s="77">
        <f t="shared" ref="T20" si="17">M20*Q20*R20*S20/1000000</f>
        <v>16.752705536000001</v>
      </c>
      <c r="U20" s="78">
        <v>3.11</v>
      </c>
      <c r="V20" s="78">
        <v>2.84</v>
      </c>
      <c r="W20" s="78">
        <f t="shared" ref="W20" si="18">M20*U20</f>
        <v>5398.96</v>
      </c>
      <c r="X20" s="78">
        <f t="shared" ref="X20" si="19">V20*M20</f>
        <v>4930.24</v>
      </c>
      <c r="Y20" s="74" t="s">
        <v>84</v>
      </c>
      <c r="Z20" s="53"/>
      <c r="AA20" s="21"/>
      <c r="AB20" s="61"/>
      <c r="AC20" s="65"/>
      <c r="AD20" s="50"/>
      <c r="AE20" s="62"/>
      <c r="AF20" s="62"/>
      <c r="AG20" s="62"/>
    </row>
    <row r="21" spans="1:33">
      <c r="A21" s="82"/>
      <c r="B21" s="51" t="s">
        <v>88</v>
      </c>
      <c r="C21" s="51" t="s">
        <v>110</v>
      </c>
      <c r="D21" s="51" t="s">
        <v>111</v>
      </c>
      <c r="E21" s="51" t="s">
        <v>91</v>
      </c>
      <c r="F21" s="52">
        <v>46122</v>
      </c>
      <c r="G21" s="52">
        <v>46129</v>
      </c>
      <c r="H21" s="51" t="s">
        <v>154</v>
      </c>
      <c r="I21" s="51" t="s">
        <v>83</v>
      </c>
      <c r="J21" s="79" t="s">
        <v>78</v>
      </c>
      <c r="K21" s="79" t="s">
        <v>176</v>
      </c>
      <c r="L21" s="75">
        <f t="shared" si="0"/>
        <v>54992</v>
      </c>
      <c r="M21" s="80">
        <v>982</v>
      </c>
      <c r="N21" s="54">
        <v>0</v>
      </c>
      <c r="O21" s="54">
        <v>0</v>
      </c>
      <c r="P21" s="76">
        <v>10745.44</v>
      </c>
      <c r="Q21" s="76">
        <v>25.6</v>
      </c>
      <c r="R21" s="76">
        <v>12.4</v>
      </c>
      <c r="S21" s="76">
        <v>30.4</v>
      </c>
      <c r="T21" s="77">
        <f t="shared" si="1"/>
        <v>9.4764728320000007</v>
      </c>
      <c r="U21" s="78">
        <v>3.11</v>
      </c>
      <c r="V21" s="78">
        <v>2.84</v>
      </c>
      <c r="W21" s="78">
        <f t="shared" si="2"/>
        <v>3054.02</v>
      </c>
      <c r="X21" s="78">
        <f t="shared" si="3"/>
        <v>2788.8799999999997</v>
      </c>
      <c r="Y21" s="74" t="s">
        <v>84</v>
      </c>
      <c r="Z21" s="53"/>
      <c r="AA21" s="21"/>
      <c r="AB21" s="61"/>
      <c r="AC21" s="65"/>
      <c r="AD21" s="50"/>
      <c r="AE21" s="62"/>
      <c r="AF21" s="62"/>
      <c r="AG21" s="62"/>
    </row>
    <row r="22" spans="1:33" ht="15" customHeight="1">
      <c r="A22" s="82"/>
      <c r="B22" s="8" t="s">
        <v>88</v>
      </c>
      <c r="C22" s="8" t="s">
        <v>112</v>
      </c>
      <c r="D22" s="8" t="s">
        <v>113</v>
      </c>
      <c r="E22" s="8" t="s">
        <v>91</v>
      </c>
      <c r="F22" s="52">
        <v>46122</v>
      </c>
      <c r="G22" s="52">
        <v>46129</v>
      </c>
      <c r="H22" s="8" t="s">
        <v>155</v>
      </c>
      <c r="I22" s="8" t="s">
        <v>83</v>
      </c>
      <c r="J22" s="79" t="s">
        <v>78</v>
      </c>
      <c r="K22" s="79" t="s">
        <v>176</v>
      </c>
      <c r="L22" s="75">
        <f t="shared" si="0"/>
        <v>46424</v>
      </c>
      <c r="M22" s="80">
        <v>829</v>
      </c>
      <c r="N22" s="54">
        <v>0</v>
      </c>
      <c r="O22" s="54">
        <v>0</v>
      </c>
      <c r="P22" s="76">
        <v>9071.25</v>
      </c>
      <c r="Q22" s="76">
        <v>25.6</v>
      </c>
      <c r="R22" s="76">
        <v>12.4</v>
      </c>
      <c r="S22" s="76">
        <v>30.4</v>
      </c>
      <c r="T22" s="77">
        <f t="shared" si="1"/>
        <v>7.9999959040000004</v>
      </c>
      <c r="U22" s="78">
        <v>3.11</v>
      </c>
      <c r="V22" s="78">
        <v>2.84</v>
      </c>
      <c r="W22" s="78">
        <f t="shared" si="2"/>
        <v>2578.19</v>
      </c>
      <c r="X22" s="78">
        <f t="shared" si="3"/>
        <v>2354.3599999999997</v>
      </c>
      <c r="Y22" s="74" t="s">
        <v>84</v>
      </c>
      <c r="Z22" s="18"/>
      <c r="AA22" s="20"/>
      <c r="AB22" s="50"/>
      <c r="AC22" s="66"/>
      <c r="AD22" s="50"/>
      <c r="AE22" s="48"/>
      <c r="AF22" s="48"/>
    </row>
    <row r="23" spans="1:33" ht="15" customHeight="1">
      <c r="A23" s="83"/>
      <c r="B23" s="8" t="s">
        <v>88</v>
      </c>
      <c r="C23" s="8" t="s">
        <v>114</v>
      </c>
      <c r="D23" s="8" t="s">
        <v>115</v>
      </c>
      <c r="E23" s="8" t="s">
        <v>91</v>
      </c>
      <c r="F23" s="52">
        <v>46122</v>
      </c>
      <c r="G23" s="52">
        <v>46129</v>
      </c>
      <c r="H23" s="8" t="s">
        <v>156</v>
      </c>
      <c r="I23" s="8" t="s">
        <v>83</v>
      </c>
      <c r="J23" s="79" t="s">
        <v>78</v>
      </c>
      <c r="K23" s="79" t="s">
        <v>80</v>
      </c>
      <c r="L23" s="75">
        <f t="shared" si="0"/>
        <v>13068</v>
      </c>
      <c r="M23" s="80">
        <v>1089</v>
      </c>
      <c r="N23" s="54">
        <v>0</v>
      </c>
      <c r="O23" s="54">
        <v>0</v>
      </c>
      <c r="P23" s="76">
        <v>25407.22</v>
      </c>
      <c r="Q23" s="76">
        <v>31.7</v>
      </c>
      <c r="R23" s="76">
        <v>28.3</v>
      </c>
      <c r="S23" s="76">
        <v>31.5</v>
      </c>
      <c r="T23" s="77">
        <f t="shared" si="1"/>
        <v>30.774012884999998</v>
      </c>
      <c r="U23" s="78">
        <v>4.7359999999999998</v>
      </c>
      <c r="V23" s="78">
        <v>4.21</v>
      </c>
      <c r="W23" s="78">
        <f t="shared" si="2"/>
        <v>5157.5039999999999</v>
      </c>
      <c r="X23" s="78">
        <f t="shared" si="3"/>
        <v>4584.6899999999996</v>
      </c>
      <c r="Y23" s="74" t="s">
        <v>84</v>
      </c>
      <c r="Z23" s="18"/>
      <c r="AA23" s="20"/>
      <c r="AB23" s="50"/>
      <c r="AC23" s="66"/>
      <c r="AD23" s="50"/>
      <c r="AE23" s="48"/>
      <c r="AF23" s="48"/>
    </row>
    <row r="24" spans="1:33">
      <c r="A24" s="55"/>
      <c r="B24" s="18"/>
      <c r="C24" s="18"/>
      <c r="D24" s="18"/>
      <c r="E24" s="18"/>
      <c r="F24" s="56"/>
      <c r="G24" s="56"/>
      <c r="H24" s="18"/>
      <c r="I24" s="18"/>
      <c r="J24" s="57"/>
      <c r="K24" s="57"/>
      <c r="L24" s="58">
        <f>SUM(L20:L23)</f>
        <v>211700</v>
      </c>
      <c r="M24" s="58">
        <f>SUM(M20:M23)</f>
        <v>4636</v>
      </c>
      <c r="N24" s="19"/>
      <c r="O24" s="19"/>
      <c r="P24" s="59"/>
      <c r="Q24" s="59"/>
      <c r="R24" s="59"/>
      <c r="S24" s="59"/>
      <c r="T24" s="63">
        <f>SUM(T20:T23)</f>
        <v>65.003187156999999</v>
      </c>
      <c r="U24" s="60"/>
      <c r="V24" s="60"/>
      <c r="W24" s="70">
        <f>SUM(W20:W23)</f>
        <v>16188.673999999999</v>
      </c>
      <c r="X24" s="70">
        <f>SUM(X20:X23)</f>
        <v>14658.169999999998</v>
      </c>
      <c r="Y24" s="57"/>
      <c r="Z24" s="53" t="s">
        <v>181</v>
      </c>
      <c r="AA24" s="21"/>
      <c r="AB24" s="61"/>
      <c r="AC24" s="65"/>
      <c r="AD24" s="50"/>
      <c r="AE24" s="62"/>
      <c r="AF24" s="62"/>
      <c r="AG24" s="62"/>
    </row>
    <row r="25" spans="1:33">
      <c r="A25" s="55"/>
      <c r="B25" s="18"/>
      <c r="C25" s="18"/>
      <c r="D25" s="18"/>
      <c r="E25" s="18"/>
      <c r="F25" s="56"/>
      <c r="G25" s="56"/>
      <c r="H25" s="18"/>
      <c r="I25" s="18"/>
      <c r="J25" s="57"/>
      <c r="K25" s="57"/>
      <c r="L25" s="58"/>
      <c r="M25" s="58"/>
      <c r="N25" s="19"/>
      <c r="O25" s="19"/>
      <c r="P25" s="59"/>
      <c r="Q25" s="59"/>
      <c r="R25" s="59"/>
      <c r="S25" s="59"/>
      <c r="T25" s="63"/>
      <c r="U25" s="60"/>
      <c r="V25" s="60"/>
      <c r="W25" s="70"/>
      <c r="X25" s="70"/>
      <c r="Y25" s="57"/>
      <c r="Z25" s="53"/>
      <c r="AA25" s="21"/>
      <c r="AB25" s="61"/>
      <c r="AC25" s="65"/>
      <c r="AD25" s="50"/>
      <c r="AE25" s="62"/>
      <c r="AF25" s="62"/>
      <c r="AG25" s="62"/>
    </row>
    <row r="26" spans="1:33" ht="15" customHeight="1">
      <c r="A26" s="81" t="s">
        <v>180</v>
      </c>
      <c r="B26" s="8" t="s">
        <v>88</v>
      </c>
      <c r="C26" s="8" t="s">
        <v>114</v>
      </c>
      <c r="D26" s="8" t="s">
        <v>115</v>
      </c>
      <c r="E26" s="8" t="s">
        <v>91</v>
      </c>
      <c r="F26" s="52">
        <v>46122</v>
      </c>
      <c r="G26" s="52">
        <v>46129</v>
      </c>
      <c r="H26" s="8" t="s">
        <v>156</v>
      </c>
      <c r="I26" s="8" t="s">
        <v>83</v>
      </c>
      <c r="J26" s="79" t="s">
        <v>78</v>
      </c>
      <c r="K26" s="79" t="s">
        <v>80</v>
      </c>
      <c r="L26" s="75">
        <f t="shared" ref="L26" si="20">M26*K26</f>
        <v>22020</v>
      </c>
      <c r="M26" s="80">
        <f>2924-M23</f>
        <v>1835</v>
      </c>
      <c r="N26" s="54">
        <v>0</v>
      </c>
      <c r="O26" s="54">
        <v>0</v>
      </c>
      <c r="P26" s="76">
        <v>25407.22</v>
      </c>
      <c r="Q26" s="76">
        <v>31.7</v>
      </c>
      <c r="R26" s="76">
        <v>28.3</v>
      </c>
      <c r="S26" s="76">
        <v>31.5</v>
      </c>
      <c r="T26" s="77">
        <f t="shared" ref="T26" si="21">M26*Q26*R26*S26/1000000</f>
        <v>51.855200775000007</v>
      </c>
      <c r="U26" s="78">
        <v>4.7359999999999998</v>
      </c>
      <c r="V26" s="78">
        <v>4.21</v>
      </c>
      <c r="W26" s="78">
        <f t="shared" ref="W26" si="22">M26*U26</f>
        <v>8690.56</v>
      </c>
      <c r="X26" s="78">
        <f t="shared" ref="X26" si="23">V26*M26</f>
        <v>7725.35</v>
      </c>
      <c r="Y26" s="74" t="s">
        <v>84</v>
      </c>
      <c r="Z26" s="18"/>
      <c r="AA26" s="20"/>
      <c r="AB26" s="50"/>
      <c r="AC26" s="66"/>
      <c r="AD26" s="50"/>
      <c r="AE26" s="48"/>
      <c r="AF26" s="48"/>
    </row>
    <row r="27" spans="1:33">
      <c r="A27" s="83"/>
      <c r="B27" s="51" t="s">
        <v>88</v>
      </c>
      <c r="C27" s="51" t="s">
        <v>116</v>
      </c>
      <c r="D27" s="51" t="s">
        <v>117</v>
      </c>
      <c r="E27" s="51" t="s">
        <v>91</v>
      </c>
      <c r="F27" s="52">
        <v>46122</v>
      </c>
      <c r="G27" s="52">
        <v>46129</v>
      </c>
      <c r="H27" s="51" t="s">
        <v>157</v>
      </c>
      <c r="I27" s="51" t="s">
        <v>83</v>
      </c>
      <c r="J27" s="79" t="s">
        <v>78</v>
      </c>
      <c r="K27" s="79" t="s">
        <v>174</v>
      </c>
      <c r="L27" s="75">
        <f t="shared" si="0"/>
        <v>40480</v>
      </c>
      <c r="M27" s="80">
        <v>1265</v>
      </c>
      <c r="N27" s="54">
        <v>0</v>
      </c>
      <c r="O27" s="54">
        <v>0</v>
      </c>
      <c r="P27" s="76">
        <v>19660.669999999998</v>
      </c>
      <c r="Q27" s="76">
        <v>25.5</v>
      </c>
      <c r="R27" s="76">
        <v>13.4</v>
      </c>
      <c r="S27" s="76">
        <v>30.4</v>
      </c>
      <c r="T27" s="77">
        <f t="shared" si="1"/>
        <v>13.1404152</v>
      </c>
      <c r="U27" s="78">
        <v>2.2280000000000002</v>
      </c>
      <c r="V27" s="78">
        <v>1.85</v>
      </c>
      <c r="W27" s="78">
        <f t="shared" si="2"/>
        <v>2818.42</v>
      </c>
      <c r="X27" s="78">
        <f t="shared" si="3"/>
        <v>2340.25</v>
      </c>
      <c r="Y27" s="74" t="s">
        <v>84</v>
      </c>
      <c r="Z27" s="53"/>
      <c r="AA27" s="21"/>
      <c r="AB27" s="61"/>
      <c r="AC27" s="65"/>
      <c r="AD27" s="50"/>
      <c r="AE27" s="62"/>
      <c r="AF27" s="62"/>
      <c r="AG27" s="62"/>
    </row>
    <row r="28" spans="1:33">
      <c r="A28" s="55"/>
      <c r="B28" s="18"/>
      <c r="C28" s="18"/>
      <c r="D28" s="18"/>
      <c r="E28" s="18"/>
      <c r="F28" s="56"/>
      <c r="G28" s="56"/>
      <c r="H28" s="18"/>
      <c r="I28" s="18"/>
      <c r="J28" s="57"/>
      <c r="K28" s="57"/>
      <c r="L28" s="58">
        <f>SUM(L26:L27)</f>
        <v>62500</v>
      </c>
      <c r="M28" s="58">
        <f>SUM(M26:M27)</f>
        <v>3100</v>
      </c>
      <c r="N28" s="19"/>
      <c r="O28" s="19"/>
      <c r="P28" s="59"/>
      <c r="Q28" s="59"/>
      <c r="R28" s="59"/>
      <c r="S28" s="59"/>
      <c r="T28" s="63">
        <f>SUM(T26:T27)</f>
        <v>64.995615975000007</v>
      </c>
      <c r="U28" s="60"/>
      <c r="V28" s="60"/>
      <c r="W28" s="70">
        <f>SUM(W26:W27)</f>
        <v>11508.98</v>
      </c>
      <c r="X28" s="70">
        <f>SUM(X26:X27)</f>
        <v>10065.6</v>
      </c>
      <c r="Y28" s="57"/>
      <c r="Z28" s="53" t="s">
        <v>182</v>
      </c>
      <c r="AA28" s="21"/>
      <c r="AB28" s="61"/>
      <c r="AC28" s="65"/>
      <c r="AD28" s="50"/>
      <c r="AE28" s="62"/>
      <c r="AF28" s="62"/>
      <c r="AG28" s="62"/>
    </row>
    <row r="29" spans="1:33">
      <c r="A29" s="55"/>
      <c r="B29" s="18"/>
      <c r="C29" s="18"/>
      <c r="D29" s="18"/>
      <c r="E29" s="18"/>
      <c r="F29" s="56"/>
      <c r="G29" s="56"/>
      <c r="H29" s="18"/>
      <c r="I29" s="18"/>
      <c r="J29" s="57"/>
      <c r="K29" s="57"/>
      <c r="L29" s="58"/>
      <c r="M29" s="58"/>
      <c r="N29" s="19"/>
      <c r="O29" s="19"/>
      <c r="P29" s="59"/>
      <c r="Q29" s="59"/>
      <c r="R29" s="59"/>
      <c r="S29" s="59"/>
      <c r="T29" s="63"/>
      <c r="U29" s="60"/>
      <c r="V29" s="60"/>
      <c r="W29" s="70"/>
      <c r="X29" s="70"/>
      <c r="Y29" s="57"/>
      <c r="Z29" s="53"/>
      <c r="AA29" s="21"/>
      <c r="AB29" s="61"/>
      <c r="AC29" s="65"/>
      <c r="AD29" s="50"/>
      <c r="AE29" s="62"/>
      <c r="AF29" s="62"/>
      <c r="AG29" s="62"/>
    </row>
    <row r="30" spans="1:33">
      <c r="A30" s="81" t="s">
        <v>180</v>
      </c>
      <c r="B30" s="51" t="s">
        <v>88</v>
      </c>
      <c r="C30" s="51" t="s">
        <v>116</v>
      </c>
      <c r="D30" s="51" t="s">
        <v>117</v>
      </c>
      <c r="E30" s="51" t="s">
        <v>91</v>
      </c>
      <c r="F30" s="52">
        <v>46122</v>
      </c>
      <c r="G30" s="52">
        <v>46129</v>
      </c>
      <c r="H30" s="51" t="s">
        <v>157</v>
      </c>
      <c r="I30" s="51" t="s">
        <v>83</v>
      </c>
      <c r="J30" s="79" t="s">
        <v>78</v>
      </c>
      <c r="K30" s="79" t="s">
        <v>174</v>
      </c>
      <c r="L30" s="75">
        <f t="shared" ref="L30" si="24">M30*K30</f>
        <v>45600</v>
      </c>
      <c r="M30" s="80">
        <f>2690-M27</f>
        <v>1425</v>
      </c>
      <c r="N30" s="54">
        <v>0</v>
      </c>
      <c r="O30" s="54">
        <v>0</v>
      </c>
      <c r="P30" s="76">
        <v>19660.669999999998</v>
      </c>
      <c r="Q30" s="76">
        <v>25.5</v>
      </c>
      <c r="R30" s="76">
        <v>13.4</v>
      </c>
      <c r="S30" s="76">
        <v>30.4</v>
      </c>
      <c r="T30" s="77">
        <f t="shared" ref="T30" si="25">M30*Q30*R30*S30/1000000</f>
        <v>14.802443999999999</v>
      </c>
      <c r="U30" s="78">
        <v>2.2280000000000002</v>
      </c>
      <c r="V30" s="78">
        <v>1.85</v>
      </c>
      <c r="W30" s="78">
        <f t="shared" ref="W30" si="26">M30*U30</f>
        <v>3174.9</v>
      </c>
      <c r="X30" s="78">
        <f t="shared" ref="X30" si="27">V30*M30</f>
        <v>2636.25</v>
      </c>
      <c r="Y30" s="74" t="s">
        <v>84</v>
      </c>
      <c r="Z30" s="53"/>
      <c r="AA30" s="21"/>
      <c r="AB30" s="61"/>
      <c r="AC30" s="65"/>
      <c r="AD30" s="50"/>
      <c r="AE30" s="62"/>
      <c r="AF30" s="62"/>
      <c r="AG30" s="62"/>
    </row>
    <row r="31" spans="1:33">
      <c r="A31" s="82"/>
      <c r="B31" s="51" t="s">
        <v>88</v>
      </c>
      <c r="C31" s="51" t="s">
        <v>118</v>
      </c>
      <c r="D31" s="51" t="s">
        <v>119</v>
      </c>
      <c r="E31" s="51" t="s">
        <v>91</v>
      </c>
      <c r="F31" s="52">
        <v>46122</v>
      </c>
      <c r="G31" s="52">
        <v>46129</v>
      </c>
      <c r="H31" s="51" t="s">
        <v>158</v>
      </c>
      <c r="I31" s="51" t="s">
        <v>83</v>
      </c>
      <c r="J31" s="79" t="s">
        <v>78</v>
      </c>
      <c r="K31" s="79" t="s">
        <v>174</v>
      </c>
      <c r="L31" s="75">
        <f t="shared" si="0"/>
        <v>29600</v>
      </c>
      <c r="M31" s="80">
        <v>925</v>
      </c>
      <c r="N31" s="54">
        <v>0</v>
      </c>
      <c r="O31" s="54">
        <v>0</v>
      </c>
      <c r="P31" s="76">
        <v>7213.52</v>
      </c>
      <c r="Q31" s="76">
        <v>25.5</v>
      </c>
      <c r="R31" s="76">
        <v>13.4</v>
      </c>
      <c r="S31" s="76">
        <v>30.4</v>
      </c>
      <c r="T31" s="77">
        <f t="shared" si="1"/>
        <v>9.6086039999999997</v>
      </c>
      <c r="U31" s="78">
        <v>2.2280000000000002</v>
      </c>
      <c r="V31" s="78">
        <v>1.85</v>
      </c>
      <c r="W31" s="78">
        <f t="shared" si="2"/>
        <v>2060.9</v>
      </c>
      <c r="X31" s="78">
        <f t="shared" si="3"/>
        <v>1711.25</v>
      </c>
      <c r="Y31" s="74" t="s">
        <v>84</v>
      </c>
      <c r="Z31" s="53"/>
      <c r="AA31" s="21"/>
      <c r="AB31" s="61"/>
      <c r="AC31" s="65"/>
      <c r="AD31" s="50"/>
      <c r="AE31" s="62"/>
      <c r="AF31" s="62"/>
      <c r="AG31" s="62"/>
    </row>
    <row r="32" spans="1:33" ht="15" customHeight="1">
      <c r="A32" s="82"/>
      <c r="B32" s="8" t="s">
        <v>88</v>
      </c>
      <c r="C32" s="8" t="s">
        <v>120</v>
      </c>
      <c r="D32" s="8" t="s">
        <v>121</v>
      </c>
      <c r="E32" s="8" t="s">
        <v>91</v>
      </c>
      <c r="F32" s="52">
        <v>46122</v>
      </c>
      <c r="G32" s="52">
        <v>46129</v>
      </c>
      <c r="H32" s="8" t="s">
        <v>159</v>
      </c>
      <c r="I32" s="8" t="s">
        <v>83</v>
      </c>
      <c r="J32" s="79" t="s">
        <v>78</v>
      </c>
      <c r="K32" s="79" t="s">
        <v>174</v>
      </c>
      <c r="L32" s="75">
        <f t="shared" si="0"/>
        <v>51744</v>
      </c>
      <c r="M32" s="80">
        <v>1617</v>
      </c>
      <c r="N32" s="54">
        <v>0</v>
      </c>
      <c r="O32" s="54">
        <v>0</v>
      </c>
      <c r="P32" s="76">
        <v>12610.01</v>
      </c>
      <c r="Q32" s="76">
        <v>25.5</v>
      </c>
      <c r="R32" s="76">
        <v>13.4</v>
      </c>
      <c r="S32" s="76">
        <v>30.4</v>
      </c>
      <c r="T32" s="77">
        <f t="shared" si="1"/>
        <v>16.79687856</v>
      </c>
      <c r="U32" s="78">
        <v>2.2280000000000002</v>
      </c>
      <c r="V32" s="78">
        <v>1.845</v>
      </c>
      <c r="W32" s="78">
        <f t="shared" si="2"/>
        <v>3602.6760000000004</v>
      </c>
      <c r="X32" s="78">
        <f t="shared" si="3"/>
        <v>2983.3649999999998</v>
      </c>
      <c r="Y32" s="74" t="s">
        <v>84</v>
      </c>
      <c r="Z32" s="18"/>
      <c r="AA32" s="20"/>
      <c r="AB32" s="50"/>
      <c r="AC32" s="66"/>
      <c r="AD32" s="50"/>
      <c r="AE32" s="48"/>
      <c r="AF32" s="48"/>
    </row>
    <row r="33" spans="1:33" ht="15" customHeight="1">
      <c r="A33" s="82"/>
      <c r="B33" s="8" t="s">
        <v>88</v>
      </c>
      <c r="C33" s="8" t="s">
        <v>122</v>
      </c>
      <c r="D33" s="8" t="s">
        <v>123</v>
      </c>
      <c r="E33" s="8" t="s">
        <v>91</v>
      </c>
      <c r="F33" s="52">
        <v>46122</v>
      </c>
      <c r="G33" s="52">
        <v>46129</v>
      </c>
      <c r="H33" s="8" t="s">
        <v>160</v>
      </c>
      <c r="I33" s="8" t="s">
        <v>83</v>
      </c>
      <c r="J33" s="79" t="s">
        <v>78</v>
      </c>
      <c r="K33" s="79" t="s">
        <v>174</v>
      </c>
      <c r="L33" s="75">
        <f t="shared" si="0"/>
        <v>68960</v>
      </c>
      <c r="M33" s="80">
        <v>2155</v>
      </c>
      <c r="N33" s="54">
        <v>0</v>
      </c>
      <c r="O33" s="54">
        <v>0</v>
      </c>
      <c r="P33" s="76">
        <v>16805.55</v>
      </c>
      <c r="Q33" s="76">
        <v>25.5</v>
      </c>
      <c r="R33" s="76">
        <v>13.4</v>
      </c>
      <c r="S33" s="76">
        <v>30.4</v>
      </c>
      <c r="T33" s="77">
        <f t="shared" si="1"/>
        <v>22.3854504</v>
      </c>
      <c r="U33" s="78">
        <v>2.2280000000000002</v>
      </c>
      <c r="V33" s="78">
        <v>1.845</v>
      </c>
      <c r="W33" s="78">
        <f t="shared" si="2"/>
        <v>4801.34</v>
      </c>
      <c r="X33" s="78">
        <f t="shared" si="3"/>
        <v>3975.9749999999999</v>
      </c>
      <c r="Y33" s="74" t="s">
        <v>84</v>
      </c>
      <c r="Z33" s="18"/>
      <c r="AA33" s="20"/>
      <c r="AB33" s="50"/>
      <c r="AC33" s="66"/>
      <c r="AD33" s="50"/>
      <c r="AE33" s="48"/>
      <c r="AF33" s="48"/>
    </row>
    <row r="34" spans="1:33" ht="15" customHeight="1">
      <c r="A34" s="83"/>
      <c r="B34" s="8" t="s">
        <v>88</v>
      </c>
      <c r="C34" s="8" t="s">
        <v>124</v>
      </c>
      <c r="D34" s="8" t="s">
        <v>125</v>
      </c>
      <c r="E34" s="8" t="s">
        <v>91</v>
      </c>
      <c r="F34" s="52">
        <v>46122</v>
      </c>
      <c r="G34" s="52">
        <v>46129</v>
      </c>
      <c r="H34" s="8" t="s">
        <v>161</v>
      </c>
      <c r="I34" s="8" t="s">
        <v>83</v>
      </c>
      <c r="J34" s="79" t="s">
        <v>78</v>
      </c>
      <c r="K34" s="79" t="s">
        <v>174</v>
      </c>
      <c r="L34" s="75">
        <f t="shared" si="0"/>
        <v>4320</v>
      </c>
      <c r="M34" s="80">
        <v>135</v>
      </c>
      <c r="N34" s="54">
        <v>0</v>
      </c>
      <c r="O34" s="54">
        <v>0</v>
      </c>
      <c r="P34" s="76">
        <v>15998.96</v>
      </c>
      <c r="Q34" s="76">
        <v>25.5</v>
      </c>
      <c r="R34" s="76">
        <v>13.4</v>
      </c>
      <c r="S34" s="76">
        <v>30.4</v>
      </c>
      <c r="T34" s="77">
        <f t="shared" si="1"/>
        <v>1.4023368</v>
      </c>
      <c r="U34" s="78">
        <v>2.2280000000000002</v>
      </c>
      <c r="V34" s="78">
        <v>1.845</v>
      </c>
      <c r="W34" s="78">
        <f t="shared" si="2"/>
        <v>300.78000000000003</v>
      </c>
      <c r="X34" s="78">
        <f t="shared" si="3"/>
        <v>249.07499999999999</v>
      </c>
      <c r="Y34" s="74" t="s">
        <v>84</v>
      </c>
      <c r="Z34" s="18"/>
      <c r="AA34" s="20"/>
      <c r="AB34" s="50"/>
      <c r="AC34" s="66"/>
      <c r="AD34" s="50"/>
      <c r="AE34" s="48"/>
      <c r="AF34" s="48"/>
    </row>
    <row r="35" spans="1:33">
      <c r="A35" s="55"/>
      <c r="B35" s="18"/>
      <c r="C35" s="18"/>
      <c r="D35" s="18"/>
      <c r="E35" s="18"/>
      <c r="F35" s="56"/>
      <c r="G35" s="56"/>
      <c r="H35" s="18"/>
      <c r="I35" s="18"/>
      <c r="J35" s="57"/>
      <c r="K35" s="57"/>
      <c r="L35" s="58">
        <f>SUM(L30:L34)</f>
        <v>200224</v>
      </c>
      <c r="M35" s="58">
        <f>SUM(M30:M34)</f>
        <v>6257</v>
      </c>
      <c r="N35" s="19"/>
      <c r="O35" s="19"/>
      <c r="P35" s="59"/>
      <c r="Q35" s="59"/>
      <c r="R35" s="59"/>
      <c r="S35" s="59"/>
      <c r="T35" s="63">
        <f>SUM(T30:T34)</f>
        <v>64.995713760000001</v>
      </c>
      <c r="U35" s="60"/>
      <c r="V35" s="60"/>
      <c r="W35" s="70">
        <f>SUM(W30:W34)</f>
        <v>13940.596000000001</v>
      </c>
      <c r="X35" s="70">
        <f>SUM(X30:X34)</f>
        <v>11555.915000000001</v>
      </c>
      <c r="Y35" s="57"/>
      <c r="Z35" s="53" t="s">
        <v>183</v>
      </c>
      <c r="AA35" s="21"/>
      <c r="AB35" s="61"/>
      <c r="AC35" s="65"/>
      <c r="AD35" s="50"/>
      <c r="AE35" s="62"/>
      <c r="AF35" s="62"/>
      <c r="AG35" s="62"/>
    </row>
    <row r="36" spans="1:33">
      <c r="A36" s="55"/>
      <c r="B36" s="18"/>
      <c r="C36" s="18"/>
      <c r="D36" s="18"/>
      <c r="E36" s="18"/>
      <c r="F36" s="56"/>
      <c r="G36" s="56"/>
      <c r="H36" s="18"/>
      <c r="I36" s="18"/>
      <c r="J36" s="57"/>
      <c r="K36" s="57"/>
      <c r="L36" s="58"/>
      <c r="M36" s="58"/>
      <c r="N36" s="19"/>
      <c r="O36" s="19"/>
      <c r="P36" s="59"/>
      <c r="Q36" s="59"/>
      <c r="R36" s="59"/>
      <c r="S36" s="59"/>
      <c r="T36" s="63"/>
      <c r="U36" s="60"/>
      <c r="V36" s="60"/>
      <c r="W36" s="70"/>
      <c r="X36" s="70"/>
      <c r="Y36" s="57"/>
      <c r="Z36" s="53"/>
      <c r="AA36" s="21"/>
      <c r="AB36" s="61"/>
      <c r="AC36" s="65"/>
      <c r="AD36" s="50"/>
      <c r="AE36" s="62"/>
      <c r="AF36" s="62"/>
      <c r="AG36" s="62"/>
    </row>
    <row r="37" spans="1:33" ht="15" customHeight="1">
      <c r="A37" s="81" t="s">
        <v>180</v>
      </c>
      <c r="B37" s="8" t="s">
        <v>88</v>
      </c>
      <c r="C37" s="8" t="s">
        <v>124</v>
      </c>
      <c r="D37" s="8" t="s">
        <v>125</v>
      </c>
      <c r="E37" s="8" t="s">
        <v>91</v>
      </c>
      <c r="F37" s="52">
        <v>46122</v>
      </c>
      <c r="G37" s="52">
        <v>46129</v>
      </c>
      <c r="H37" s="8" t="s">
        <v>161</v>
      </c>
      <c r="I37" s="8" t="s">
        <v>83</v>
      </c>
      <c r="J37" s="79" t="s">
        <v>78</v>
      </c>
      <c r="K37" s="79" t="s">
        <v>174</v>
      </c>
      <c r="L37" s="75">
        <f t="shared" ref="L37" si="28">M37*K37</f>
        <v>65728</v>
      </c>
      <c r="M37" s="80">
        <f>2189-M34</f>
        <v>2054</v>
      </c>
      <c r="N37" s="54">
        <v>0</v>
      </c>
      <c r="O37" s="54">
        <v>0</v>
      </c>
      <c r="P37" s="76">
        <v>15998.96</v>
      </c>
      <c r="Q37" s="76">
        <v>25.5</v>
      </c>
      <c r="R37" s="76">
        <v>13.4</v>
      </c>
      <c r="S37" s="76">
        <v>30.4</v>
      </c>
      <c r="T37" s="77">
        <f t="shared" ref="T37" si="29">M37*Q37*R37*S37/1000000</f>
        <v>21.336294719999998</v>
      </c>
      <c r="U37" s="78">
        <v>2.2280000000000002</v>
      </c>
      <c r="V37" s="78">
        <v>1.845</v>
      </c>
      <c r="W37" s="78">
        <f t="shared" ref="W37" si="30">M37*U37</f>
        <v>4576.3120000000008</v>
      </c>
      <c r="X37" s="78">
        <f t="shared" ref="X37" si="31">V37*M37</f>
        <v>3789.63</v>
      </c>
      <c r="Y37" s="74" t="s">
        <v>84</v>
      </c>
      <c r="Z37" s="18"/>
      <c r="AA37" s="20"/>
      <c r="AB37" s="50"/>
      <c r="AC37" s="66"/>
      <c r="AD37" s="50"/>
      <c r="AE37" s="48"/>
      <c r="AF37" s="48"/>
    </row>
    <row r="38" spans="1:33">
      <c r="A38" s="82"/>
      <c r="B38" s="51" t="s">
        <v>88</v>
      </c>
      <c r="C38" s="51" t="s">
        <v>126</v>
      </c>
      <c r="D38" s="51" t="s">
        <v>127</v>
      </c>
      <c r="E38" s="51" t="s">
        <v>91</v>
      </c>
      <c r="F38" s="52">
        <v>46122</v>
      </c>
      <c r="G38" s="52">
        <v>46129</v>
      </c>
      <c r="H38" s="51" t="s">
        <v>162</v>
      </c>
      <c r="I38" s="51" t="s">
        <v>83</v>
      </c>
      <c r="J38" s="79" t="s">
        <v>78</v>
      </c>
      <c r="K38" s="79" t="s">
        <v>176</v>
      </c>
      <c r="L38" s="75">
        <f t="shared" si="0"/>
        <v>47264</v>
      </c>
      <c r="M38" s="80">
        <v>844</v>
      </c>
      <c r="N38" s="54">
        <v>0</v>
      </c>
      <c r="O38" s="54">
        <v>0</v>
      </c>
      <c r="P38" s="76">
        <v>9235.39</v>
      </c>
      <c r="Q38" s="76">
        <v>25.6</v>
      </c>
      <c r="R38" s="76">
        <v>12.4</v>
      </c>
      <c r="S38" s="76">
        <v>30.4</v>
      </c>
      <c r="T38" s="77">
        <f t="shared" si="1"/>
        <v>8.1447485440000005</v>
      </c>
      <c r="U38" s="78">
        <v>3.11</v>
      </c>
      <c r="V38" s="78">
        <v>2.84</v>
      </c>
      <c r="W38" s="78">
        <f t="shared" si="2"/>
        <v>2624.8399999999997</v>
      </c>
      <c r="X38" s="78">
        <f t="shared" si="3"/>
        <v>2396.96</v>
      </c>
      <c r="Y38" s="74" t="s">
        <v>84</v>
      </c>
      <c r="Z38" s="53"/>
      <c r="AA38" s="21"/>
      <c r="AB38" s="61"/>
      <c r="AC38" s="65"/>
      <c r="AD38" s="50"/>
      <c r="AE38" s="62"/>
      <c r="AF38" s="62"/>
      <c r="AG38" s="62"/>
    </row>
    <row r="39" spans="1:33">
      <c r="A39" s="82"/>
      <c r="B39" s="51" t="s">
        <v>88</v>
      </c>
      <c r="C39" s="51" t="s">
        <v>128</v>
      </c>
      <c r="D39" s="51" t="s">
        <v>129</v>
      </c>
      <c r="E39" s="51" t="s">
        <v>91</v>
      </c>
      <c r="F39" s="52">
        <v>46122</v>
      </c>
      <c r="G39" s="52">
        <v>46129</v>
      </c>
      <c r="H39" s="51" t="s">
        <v>163</v>
      </c>
      <c r="I39" s="51" t="s">
        <v>83</v>
      </c>
      <c r="J39" s="79" t="s">
        <v>78</v>
      </c>
      <c r="K39" s="79" t="s">
        <v>176</v>
      </c>
      <c r="L39" s="75">
        <f t="shared" si="0"/>
        <v>50120</v>
      </c>
      <c r="M39" s="80">
        <v>895</v>
      </c>
      <c r="N39" s="54">
        <v>0</v>
      </c>
      <c r="O39" s="54">
        <v>0</v>
      </c>
      <c r="P39" s="76">
        <v>9793.4500000000007</v>
      </c>
      <c r="Q39" s="76">
        <v>25.6</v>
      </c>
      <c r="R39" s="76">
        <v>12.4</v>
      </c>
      <c r="S39" s="76">
        <v>30.4</v>
      </c>
      <c r="T39" s="77">
        <f t="shared" si="1"/>
        <v>8.6369075199999994</v>
      </c>
      <c r="U39" s="78">
        <v>3.11</v>
      </c>
      <c r="V39" s="78">
        <v>2.84</v>
      </c>
      <c r="W39" s="78">
        <f t="shared" si="2"/>
        <v>2783.45</v>
      </c>
      <c r="X39" s="78">
        <f t="shared" si="3"/>
        <v>2541.7999999999997</v>
      </c>
      <c r="Y39" s="74" t="s">
        <v>84</v>
      </c>
      <c r="Z39" s="53"/>
      <c r="AA39" s="21"/>
      <c r="AB39" s="61"/>
      <c r="AC39" s="65"/>
      <c r="AD39" s="50"/>
      <c r="AE39" s="62"/>
      <c r="AF39" s="62"/>
      <c r="AG39" s="62"/>
    </row>
    <row r="40" spans="1:33" ht="15" customHeight="1">
      <c r="A40" s="82"/>
      <c r="B40" s="8" t="s">
        <v>88</v>
      </c>
      <c r="C40" s="8" t="s">
        <v>130</v>
      </c>
      <c r="D40" s="8" t="s">
        <v>131</v>
      </c>
      <c r="E40" s="8" t="s">
        <v>91</v>
      </c>
      <c r="F40" s="52">
        <v>46122</v>
      </c>
      <c r="G40" s="52">
        <v>46129</v>
      </c>
      <c r="H40" s="8" t="s">
        <v>164</v>
      </c>
      <c r="I40" s="8" t="s">
        <v>83</v>
      </c>
      <c r="J40" s="79" t="s">
        <v>78</v>
      </c>
      <c r="K40" s="79" t="s">
        <v>176</v>
      </c>
      <c r="L40" s="75">
        <f t="shared" si="0"/>
        <v>112168</v>
      </c>
      <c r="M40" s="80">
        <v>2003</v>
      </c>
      <c r="N40" s="54">
        <v>0</v>
      </c>
      <c r="O40" s="54">
        <v>0</v>
      </c>
      <c r="P40" s="76">
        <v>20549.18</v>
      </c>
      <c r="Q40" s="76">
        <v>25.6</v>
      </c>
      <c r="R40" s="76">
        <v>12.4</v>
      </c>
      <c r="S40" s="76">
        <v>30.4</v>
      </c>
      <c r="T40" s="77">
        <f t="shared" si="1"/>
        <v>19.329302527999999</v>
      </c>
      <c r="U40" s="78">
        <v>3.11</v>
      </c>
      <c r="V40" s="78">
        <v>2.84</v>
      </c>
      <c r="W40" s="78">
        <f t="shared" si="2"/>
        <v>6229.33</v>
      </c>
      <c r="X40" s="78">
        <f t="shared" si="3"/>
        <v>5688.5199999999995</v>
      </c>
      <c r="Y40" s="74" t="s">
        <v>84</v>
      </c>
      <c r="Z40" s="18"/>
      <c r="AA40" s="20"/>
      <c r="AB40" s="50"/>
      <c r="AC40" s="66"/>
      <c r="AD40" s="50"/>
      <c r="AE40" s="48"/>
      <c r="AF40" s="48"/>
    </row>
    <row r="41" spans="1:33" ht="15" customHeight="1">
      <c r="A41" s="83"/>
      <c r="B41" s="8" t="s">
        <v>88</v>
      </c>
      <c r="C41" s="8" t="s">
        <v>132</v>
      </c>
      <c r="D41" s="8" t="s">
        <v>133</v>
      </c>
      <c r="E41" s="8" t="s">
        <v>91</v>
      </c>
      <c r="F41" s="52">
        <v>46122</v>
      </c>
      <c r="G41" s="52">
        <v>46129</v>
      </c>
      <c r="H41" s="8" t="s">
        <v>165</v>
      </c>
      <c r="I41" s="8" t="s">
        <v>83</v>
      </c>
      <c r="J41" s="79" t="s">
        <v>78</v>
      </c>
      <c r="K41" s="79" t="s">
        <v>176</v>
      </c>
      <c r="L41" s="75">
        <f t="shared" si="0"/>
        <v>43848</v>
      </c>
      <c r="M41" s="80">
        <v>783</v>
      </c>
      <c r="N41" s="54">
        <v>0</v>
      </c>
      <c r="O41" s="54">
        <v>0</v>
      </c>
      <c r="P41" s="76">
        <v>14444.95</v>
      </c>
      <c r="Q41" s="76">
        <v>25.6</v>
      </c>
      <c r="R41" s="76">
        <v>12.4</v>
      </c>
      <c r="S41" s="76">
        <v>30.4</v>
      </c>
      <c r="T41" s="77">
        <f t="shared" si="1"/>
        <v>7.5560878080000009</v>
      </c>
      <c r="U41" s="78">
        <v>3.11</v>
      </c>
      <c r="V41" s="78">
        <v>2.84</v>
      </c>
      <c r="W41" s="78">
        <f t="shared" si="2"/>
        <v>2435.13</v>
      </c>
      <c r="X41" s="78">
        <f t="shared" si="3"/>
        <v>2223.7199999999998</v>
      </c>
      <c r="Y41" s="74" t="s">
        <v>84</v>
      </c>
      <c r="Z41" s="18"/>
      <c r="AA41" s="20"/>
      <c r="AB41" s="50"/>
      <c r="AC41" s="66"/>
      <c r="AD41" s="50"/>
      <c r="AE41" s="48"/>
      <c r="AF41" s="48"/>
    </row>
    <row r="42" spans="1:33">
      <c r="A42" s="55"/>
      <c r="B42" s="18"/>
      <c r="C42" s="18"/>
      <c r="D42" s="18"/>
      <c r="E42" s="18"/>
      <c r="F42" s="56"/>
      <c r="G42" s="56"/>
      <c r="H42" s="18"/>
      <c r="I42" s="18"/>
      <c r="J42" s="57"/>
      <c r="K42" s="57"/>
      <c r="L42" s="58">
        <f>SUM(L37:L41)</f>
        <v>319128</v>
      </c>
      <c r="M42" s="58">
        <f>SUM(M37:M41)</f>
        <v>6579</v>
      </c>
      <c r="N42" s="19"/>
      <c r="O42" s="19"/>
      <c r="P42" s="59"/>
      <c r="Q42" s="59"/>
      <c r="R42" s="59"/>
      <c r="S42" s="59"/>
      <c r="T42" s="63">
        <f>SUM(T37:T41)</f>
        <v>65.003341120000002</v>
      </c>
      <c r="U42" s="60"/>
      <c r="V42" s="60"/>
      <c r="W42" s="70">
        <f>SUM(W37:W41)</f>
        <v>18649.061999999998</v>
      </c>
      <c r="X42" s="70">
        <f>SUM(X37:X41)</f>
        <v>16640.63</v>
      </c>
      <c r="Y42" s="57"/>
      <c r="Z42" s="53" t="s">
        <v>183</v>
      </c>
      <c r="AA42" s="21"/>
      <c r="AB42" s="61"/>
      <c r="AC42" s="65"/>
      <c r="AD42" s="50"/>
      <c r="AE42" s="62"/>
      <c r="AF42" s="62"/>
      <c r="AG42" s="62"/>
    </row>
    <row r="43" spans="1:33">
      <c r="A43" s="55"/>
      <c r="B43" s="18"/>
      <c r="C43" s="18"/>
      <c r="D43" s="18"/>
      <c r="E43" s="18"/>
      <c r="F43" s="56"/>
      <c r="G43" s="56"/>
      <c r="H43" s="18"/>
      <c r="I43" s="18"/>
      <c r="J43" s="57"/>
      <c r="K43" s="57"/>
      <c r="L43" s="58"/>
      <c r="M43" s="58"/>
      <c r="N43" s="19"/>
      <c r="O43" s="19"/>
      <c r="P43" s="59"/>
      <c r="Q43" s="59"/>
      <c r="R43" s="59"/>
      <c r="S43" s="59"/>
      <c r="T43" s="63"/>
      <c r="U43" s="60"/>
      <c r="V43" s="60"/>
      <c r="W43" s="70"/>
      <c r="X43" s="70"/>
      <c r="Y43" s="57"/>
      <c r="Z43" s="53"/>
      <c r="AA43" s="21"/>
      <c r="AB43" s="61"/>
      <c r="AC43" s="65"/>
      <c r="AD43" s="50"/>
      <c r="AE43" s="62"/>
      <c r="AF43" s="62"/>
      <c r="AG43" s="62"/>
    </row>
    <row r="44" spans="1:33" ht="15" customHeight="1">
      <c r="A44" s="81" t="s">
        <v>82</v>
      </c>
      <c r="B44" s="8" t="s">
        <v>88</v>
      </c>
      <c r="C44" s="8" t="s">
        <v>132</v>
      </c>
      <c r="D44" s="8" t="s">
        <v>133</v>
      </c>
      <c r="E44" s="8" t="s">
        <v>91</v>
      </c>
      <c r="F44" s="52">
        <v>46122</v>
      </c>
      <c r="G44" s="52">
        <v>46129</v>
      </c>
      <c r="H44" s="8" t="s">
        <v>165</v>
      </c>
      <c r="I44" s="8" t="s">
        <v>83</v>
      </c>
      <c r="J44" s="79" t="s">
        <v>78</v>
      </c>
      <c r="K44" s="79" t="s">
        <v>176</v>
      </c>
      <c r="L44" s="75">
        <f t="shared" ref="L44" si="32">M44*K44</f>
        <v>35000</v>
      </c>
      <c r="M44" s="80">
        <f>1408-M41</f>
        <v>625</v>
      </c>
      <c r="N44" s="54">
        <v>0</v>
      </c>
      <c r="O44" s="54">
        <v>0</v>
      </c>
      <c r="P44" s="76">
        <v>14444.95</v>
      </c>
      <c r="Q44" s="76">
        <v>25.6</v>
      </c>
      <c r="R44" s="76">
        <v>12.4</v>
      </c>
      <c r="S44" s="76">
        <v>30.4</v>
      </c>
      <c r="T44" s="77">
        <f t="shared" ref="T44" si="33">M44*Q44*R44*S44/1000000</f>
        <v>6.0313600000000003</v>
      </c>
      <c r="U44" s="78">
        <v>3.11</v>
      </c>
      <c r="V44" s="78">
        <v>2.84</v>
      </c>
      <c r="W44" s="78">
        <f t="shared" ref="W44" si="34">M44*U44</f>
        <v>1943.75</v>
      </c>
      <c r="X44" s="78">
        <f t="shared" ref="X44" si="35">V44*M44</f>
        <v>1775</v>
      </c>
      <c r="Y44" s="74" t="s">
        <v>84</v>
      </c>
      <c r="Z44" s="18"/>
      <c r="AA44" s="20"/>
      <c r="AB44" s="50"/>
      <c r="AC44" s="66"/>
      <c r="AD44" s="50"/>
      <c r="AE44" s="48"/>
      <c r="AF44" s="48"/>
    </row>
    <row r="45" spans="1:33" ht="15" customHeight="1">
      <c r="A45" s="83"/>
      <c r="B45" s="8" t="s">
        <v>88</v>
      </c>
      <c r="C45" s="8" t="s">
        <v>134</v>
      </c>
      <c r="D45" s="8" t="s">
        <v>135</v>
      </c>
      <c r="E45" s="8" t="s">
        <v>91</v>
      </c>
      <c r="F45" s="52">
        <v>46122</v>
      </c>
      <c r="G45" s="52">
        <v>46129</v>
      </c>
      <c r="H45" s="8" t="s">
        <v>166</v>
      </c>
      <c r="I45" s="8" t="s">
        <v>83</v>
      </c>
      <c r="J45" s="79" t="s">
        <v>78</v>
      </c>
      <c r="K45" s="79" t="s">
        <v>80</v>
      </c>
      <c r="L45" s="75">
        <f t="shared" si="0"/>
        <v>20808</v>
      </c>
      <c r="M45" s="80">
        <v>1734</v>
      </c>
      <c r="N45" s="54">
        <v>0</v>
      </c>
      <c r="O45" s="54">
        <v>0</v>
      </c>
      <c r="P45" s="76">
        <v>25782.43</v>
      </c>
      <c r="Q45" s="76">
        <v>31.7</v>
      </c>
      <c r="R45" s="76">
        <v>28.3</v>
      </c>
      <c r="S45" s="76">
        <v>31.5</v>
      </c>
      <c r="T45" s="77">
        <f t="shared" si="1"/>
        <v>49.001045310000002</v>
      </c>
      <c r="U45" s="78">
        <v>4.7359999999999998</v>
      </c>
      <c r="V45" s="78">
        <v>4.21</v>
      </c>
      <c r="W45" s="78">
        <f t="shared" si="2"/>
        <v>8212.2240000000002</v>
      </c>
      <c r="X45" s="78">
        <f t="shared" si="3"/>
        <v>7300.14</v>
      </c>
      <c r="Y45" s="74" t="s">
        <v>84</v>
      </c>
      <c r="Z45" s="18"/>
      <c r="AA45" s="20"/>
      <c r="AB45" s="50"/>
      <c r="AC45" s="66"/>
      <c r="AD45" s="50"/>
      <c r="AE45" s="48"/>
      <c r="AF45" s="48"/>
    </row>
    <row r="46" spans="1:33">
      <c r="A46" s="55"/>
      <c r="B46" s="18"/>
      <c r="C46" s="18"/>
      <c r="D46" s="18"/>
      <c r="E46" s="18"/>
      <c r="F46" s="56"/>
      <c r="G46" s="56"/>
      <c r="H46" s="18"/>
      <c r="I46" s="18"/>
      <c r="J46" s="57"/>
      <c r="K46" s="57"/>
      <c r="L46" s="58">
        <f>SUM(L44:L45)</f>
        <v>55808</v>
      </c>
      <c r="M46" s="58">
        <f>SUM(M44:M45)</f>
        <v>2359</v>
      </c>
      <c r="N46" s="19"/>
      <c r="O46" s="19"/>
      <c r="P46" s="59"/>
      <c r="Q46" s="59"/>
      <c r="R46" s="59"/>
      <c r="S46" s="59"/>
      <c r="T46" s="63">
        <f>SUM(T44:T45)</f>
        <v>55.032405310000001</v>
      </c>
      <c r="U46" s="60"/>
      <c r="V46" s="60"/>
      <c r="W46" s="70">
        <f>SUM(W44:W45)</f>
        <v>10155.974</v>
      </c>
      <c r="X46" s="70">
        <f>SUM(X44:X45)</f>
        <v>9075.14</v>
      </c>
      <c r="Y46" s="57"/>
      <c r="Z46" s="53" t="s">
        <v>182</v>
      </c>
      <c r="AA46" s="21"/>
      <c r="AB46" s="61"/>
      <c r="AC46" s="65"/>
      <c r="AD46" s="50"/>
      <c r="AE46" s="62"/>
      <c r="AF46" s="62"/>
      <c r="AG46" s="62"/>
    </row>
    <row r="47" spans="1:33">
      <c r="A47" s="55"/>
      <c r="B47" s="18"/>
      <c r="C47" s="18"/>
      <c r="D47" s="18"/>
      <c r="E47" s="18"/>
      <c r="F47" s="56"/>
      <c r="G47" s="56"/>
      <c r="H47" s="18"/>
      <c r="I47" s="18"/>
      <c r="J47" s="57"/>
      <c r="K47" s="57"/>
      <c r="L47" s="58"/>
      <c r="M47" s="58"/>
      <c r="N47" s="19"/>
      <c r="O47" s="19"/>
      <c r="P47" s="59"/>
      <c r="Q47" s="59"/>
      <c r="R47" s="59"/>
      <c r="S47" s="59"/>
      <c r="T47" s="63"/>
      <c r="U47" s="60"/>
      <c r="V47" s="60"/>
      <c r="W47" s="70"/>
      <c r="X47" s="70"/>
      <c r="Y47" s="57"/>
      <c r="Z47" s="53"/>
      <c r="AA47" s="21"/>
      <c r="AB47" s="61"/>
      <c r="AC47" s="65"/>
      <c r="AD47" s="50"/>
      <c r="AE47" s="62"/>
      <c r="AF47" s="62"/>
      <c r="AG47" s="62"/>
    </row>
    <row r="48" spans="1:33" ht="15" customHeight="1">
      <c r="A48" s="81" t="s">
        <v>82</v>
      </c>
      <c r="B48" s="8" t="s">
        <v>88</v>
      </c>
      <c r="C48" s="8" t="s">
        <v>134</v>
      </c>
      <c r="D48" s="8" t="s">
        <v>135</v>
      </c>
      <c r="E48" s="8" t="s">
        <v>91</v>
      </c>
      <c r="F48" s="52">
        <v>46122</v>
      </c>
      <c r="G48" s="52">
        <v>46129</v>
      </c>
      <c r="H48" s="8" t="s">
        <v>166</v>
      </c>
      <c r="I48" s="8" t="s">
        <v>83</v>
      </c>
      <c r="J48" s="79" t="s">
        <v>78</v>
      </c>
      <c r="K48" s="79" t="s">
        <v>80</v>
      </c>
      <c r="L48" s="75">
        <f t="shared" ref="L48" si="36">M48*K48</f>
        <v>13152</v>
      </c>
      <c r="M48" s="80">
        <f>2830-M45</f>
        <v>1096</v>
      </c>
      <c r="N48" s="54">
        <v>0</v>
      </c>
      <c r="O48" s="54">
        <v>0</v>
      </c>
      <c r="P48" s="76">
        <v>25782.43</v>
      </c>
      <c r="Q48" s="76">
        <v>31.7</v>
      </c>
      <c r="R48" s="76">
        <v>28.3</v>
      </c>
      <c r="S48" s="76">
        <v>31.5</v>
      </c>
      <c r="T48" s="77">
        <f t="shared" ref="T48" si="37">M48*Q48*R48*S48/1000000</f>
        <v>30.971825639999995</v>
      </c>
      <c r="U48" s="78">
        <v>4.7359999999999998</v>
      </c>
      <c r="V48" s="78">
        <v>4.21</v>
      </c>
      <c r="W48" s="78">
        <f t="shared" ref="W48" si="38">M48*U48</f>
        <v>5190.6559999999999</v>
      </c>
      <c r="X48" s="78">
        <f t="shared" ref="X48" si="39">V48*M48</f>
        <v>4614.16</v>
      </c>
      <c r="Y48" s="74" t="s">
        <v>84</v>
      </c>
      <c r="Z48" s="18"/>
      <c r="AA48" s="20"/>
      <c r="AB48" s="50"/>
      <c r="AC48" s="66"/>
      <c r="AD48" s="50"/>
      <c r="AE48" s="48"/>
      <c r="AF48" s="48"/>
    </row>
    <row r="49" spans="1:33" ht="15" customHeight="1">
      <c r="A49" s="82"/>
      <c r="B49" s="8" t="s">
        <v>88</v>
      </c>
      <c r="C49" s="8" t="s">
        <v>136</v>
      </c>
      <c r="D49" s="8" t="s">
        <v>137</v>
      </c>
      <c r="E49" s="8" t="s">
        <v>91</v>
      </c>
      <c r="F49" s="52">
        <v>46122</v>
      </c>
      <c r="G49" s="52">
        <v>46129</v>
      </c>
      <c r="H49" s="8" t="s">
        <v>167</v>
      </c>
      <c r="I49" s="8" t="s">
        <v>83</v>
      </c>
      <c r="J49" s="79" t="s">
        <v>78</v>
      </c>
      <c r="K49" s="79" t="s">
        <v>177</v>
      </c>
      <c r="L49" s="75">
        <f t="shared" si="0"/>
        <v>14280</v>
      </c>
      <c r="M49" s="80">
        <v>357</v>
      </c>
      <c r="N49" s="54">
        <v>0</v>
      </c>
      <c r="O49" s="54">
        <v>0</v>
      </c>
      <c r="P49" s="76">
        <v>5714.86</v>
      </c>
      <c r="Q49" s="76">
        <v>26</v>
      </c>
      <c r="R49" s="76">
        <v>9.3000000000000007</v>
      </c>
      <c r="S49" s="76">
        <v>30.6</v>
      </c>
      <c r="T49" s="77">
        <f t="shared" si="1"/>
        <v>2.6414715600000007</v>
      </c>
      <c r="U49" s="78">
        <v>2.2999999999999998</v>
      </c>
      <c r="V49" s="78">
        <v>2.02</v>
      </c>
      <c r="W49" s="78">
        <f t="shared" si="2"/>
        <v>821.09999999999991</v>
      </c>
      <c r="X49" s="78">
        <f t="shared" si="3"/>
        <v>721.14</v>
      </c>
      <c r="Y49" s="74" t="s">
        <v>84</v>
      </c>
      <c r="Z49" s="18"/>
      <c r="AA49" s="20"/>
      <c r="AB49" s="50"/>
      <c r="AC49" s="66"/>
      <c r="AD49" s="50"/>
      <c r="AE49" s="48"/>
      <c r="AF49" s="48"/>
    </row>
    <row r="50" spans="1:33" ht="15" customHeight="1">
      <c r="A50" s="82"/>
      <c r="B50" s="8" t="s">
        <v>88</v>
      </c>
      <c r="C50" s="8" t="s">
        <v>138</v>
      </c>
      <c r="D50" s="8" t="s">
        <v>139</v>
      </c>
      <c r="E50" s="8" t="s">
        <v>91</v>
      </c>
      <c r="F50" s="52">
        <v>46122</v>
      </c>
      <c r="G50" s="52">
        <v>46129</v>
      </c>
      <c r="H50" s="8" t="s">
        <v>168</v>
      </c>
      <c r="I50" s="8" t="s">
        <v>83</v>
      </c>
      <c r="J50" s="79" t="s">
        <v>78</v>
      </c>
      <c r="K50" s="79" t="s">
        <v>177</v>
      </c>
      <c r="L50" s="75">
        <f t="shared" si="0"/>
        <v>15760</v>
      </c>
      <c r="M50" s="80">
        <v>394</v>
      </c>
      <c r="N50" s="54">
        <v>0</v>
      </c>
      <c r="O50" s="54">
        <v>0</v>
      </c>
      <c r="P50" s="76">
        <v>6408.02</v>
      </c>
      <c r="Q50" s="76">
        <v>25.7</v>
      </c>
      <c r="R50" s="76">
        <v>15.7</v>
      </c>
      <c r="S50" s="76">
        <v>30.5</v>
      </c>
      <c r="T50" s="77">
        <f t="shared" si="1"/>
        <v>4.848739329999999</v>
      </c>
      <c r="U50" s="78">
        <v>2.71</v>
      </c>
      <c r="V50" s="78">
        <v>2.4</v>
      </c>
      <c r="W50" s="78">
        <f t="shared" si="2"/>
        <v>1067.74</v>
      </c>
      <c r="X50" s="78">
        <f t="shared" si="3"/>
        <v>945.59999999999991</v>
      </c>
      <c r="Y50" s="74" t="s">
        <v>84</v>
      </c>
      <c r="Z50" s="18"/>
      <c r="AA50" s="20"/>
      <c r="AB50" s="50"/>
      <c r="AC50" s="66"/>
      <c r="AD50" s="50"/>
      <c r="AE50" s="48"/>
      <c r="AF50" s="48"/>
    </row>
    <row r="51" spans="1:33">
      <c r="A51" s="82"/>
      <c r="B51" s="51" t="s">
        <v>88</v>
      </c>
      <c r="C51" s="51" t="s">
        <v>140</v>
      </c>
      <c r="D51" s="51" t="s">
        <v>141</v>
      </c>
      <c r="E51" s="51" t="s">
        <v>91</v>
      </c>
      <c r="F51" s="52">
        <v>46122</v>
      </c>
      <c r="G51" s="52">
        <v>46129</v>
      </c>
      <c r="H51" s="51" t="s">
        <v>169</v>
      </c>
      <c r="I51" s="51" t="s">
        <v>83</v>
      </c>
      <c r="J51" s="79" t="s">
        <v>78</v>
      </c>
      <c r="K51" s="79" t="s">
        <v>178</v>
      </c>
      <c r="L51" s="75">
        <f t="shared" si="0"/>
        <v>1232</v>
      </c>
      <c r="M51" s="80">
        <v>616</v>
      </c>
      <c r="N51" s="54">
        <v>0</v>
      </c>
      <c r="O51" s="54">
        <v>0</v>
      </c>
      <c r="P51" s="76">
        <v>8248.98</v>
      </c>
      <c r="Q51" s="76">
        <v>27.3</v>
      </c>
      <c r="R51" s="76">
        <v>27.1</v>
      </c>
      <c r="S51" s="76">
        <v>31.5</v>
      </c>
      <c r="T51" s="77">
        <f t="shared" si="1"/>
        <v>14.355661320000001</v>
      </c>
      <c r="U51" s="78">
        <v>4.4420000000000002</v>
      </c>
      <c r="V51" s="78">
        <v>4.09</v>
      </c>
      <c r="W51" s="78">
        <f t="shared" si="2"/>
        <v>2736.2719999999999</v>
      </c>
      <c r="X51" s="78">
        <f t="shared" si="3"/>
        <v>2519.44</v>
      </c>
      <c r="Y51" s="74" t="s">
        <v>84</v>
      </c>
      <c r="Z51" s="53"/>
      <c r="AA51" s="21"/>
      <c r="AB51" s="61"/>
      <c r="AC51" s="65"/>
      <c r="AD51" s="50"/>
      <c r="AE51" s="62"/>
      <c r="AF51" s="62"/>
      <c r="AG51" s="62"/>
    </row>
    <row r="52" spans="1:33">
      <c r="A52" s="83"/>
      <c r="B52" s="51" t="s">
        <v>88</v>
      </c>
      <c r="C52" s="51" t="s">
        <v>142</v>
      </c>
      <c r="D52" s="51" t="s">
        <v>143</v>
      </c>
      <c r="E52" s="51" t="s">
        <v>91</v>
      </c>
      <c r="F52" s="52">
        <v>46122</v>
      </c>
      <c r="G52" s="52">
        <v>46129</v>
      </c>
      <c r="H52" s="51" t="s">
        <v>170</v>
      </c>
      <c r="I52" s="51" t="s">
        <v>83</v>
      </c>
      <c r="J52" s="79" t="s">
        <v>78</v>
      </c>
      <c r="K52" s="79" t="s">
        <v>179</v>
      </c>
      <c r="L52" s="75">
        <f t="shared" si="0"/>
        <v>4930</v>
      </c>
      <c r="M52" s="80">
        <v>493</v>
      </c>
      <c r="N52" s="54">
        <v>0</v>
      </c>
      <c r="O52" s="54">
        <v>0</v>
      </c>
      <c r="P52" s="76">
        <v>3083.72</v>
      </c>
      <c r="Q52" s="76">
        <v>32.299999999999997</v>
      </c>
      <c r="R52" s="76">
        <v>17.7</v>
      </c>
      <c r="S52" s="76">
        <v>7.8</v>
      </c>
      <c r="T52" s="77">
        <f t="shared" si="1"/>
        <v>2.1984536339999998</v>
      </c>
      <c r="U52" s="78">
        <v>1.42</v>
      </c>
      <c r="V52" s="78">
        <v>1.25</v>
      </c>
      <c r="W52" s="78">
        <f t="shared" si="2"/>
        <v>700.06</v>
      </c>
      <c r="X52" s="78">
        <f t="shared" si="3"/>
        <v>616.25</v>
      </c>
      <c r="Y52" s="74" t="s">
        <v>84</v>
      </c>
      <c r="Z52" s="53"/>
      <c r="AA52" s="21"/>
      <c r="AB52" s="61"/>
      <c r="AC52" s="65"/>
      <c r="AD52" s="50"/>
      <c r="AE52" s="62"/>
      <c r="AF52" s="62"/>
      <c r="AG52" s="62"/>
    </row>
    <row r="53" spans="1:33">
      <c r="A53" s="55"/>
      <c r="B53" s="18"/>
      <c r="C53" s="18"/>
      <c r="D53" s="18"/>
      <c r="E53" s="18"/>
      <c r="F53" s="56"/>
      <c r="G53" s="56"/>
      <c r="H53" s="18"/>
      <c r="I53" s="18"/>
      <c r="J53" s="57"/>
      <c r="K53" s="57"/>
      <c r="L53" s="58">
        <f>SUM(L48:L52)</f>
        <v>49354</v>
      </c>
      <c r="M53" s="58">
        <f>SUM(M48:M52)</f>
        <v>2956</v>
      </c>
      <c r="N53" s="19"/>
      <c r="O53" s="19"/>
      <c r="P53" s="59"/>
      <c r="Q53" s="59"/>
      <c r="R53" s="59"/>
      <c r="S53" s="59"/>
      <c r="T53" s="63">
        <f>SUM(T48:T52)</f>
        <v>55.016151484000005</v>
      </c>
      <c r="U53" s="60"/>
      <c r="V53" s="60"/>
      <c r="W53" s="70">
        <f>SUM(W48:W52)</f>
        <v>10515.828</v>
      </c>
      <c r="X53" s="70">
        <f>SUM(X48:X52)</f>
        <v>9416.59</v>
      </c>
      <c r="Y53" s="57"/>
      <c r="Z53" s="53" t="s">
        <v>183</v>
      </c>
      <c r="AA53" s="21"/>
      <c r="AB53" s="61"/>
      <c r="AC53" s="65"/>
      <c r="AD53" s="50"/>
      <c r="AE53" s="62"/>
      <c r="AF53" s="62"/>
      <c r="AG53" s="62"/>
    </row>
    <row r="54" spans="1:33">
      <c r="A54" s="55"/>
      <c r="B54" s="18"/>
      <c r="C54" s="18"/>
      <c r="D54" s="18"/>
      <c r="E54" s="18"/>
      <c r="F54" s="56"/>
      <c r="G54" s="56"/>
      <c r="H54" s="18"/>
      <c r="I54" s="18"/>
      <c r="J54" s="57"/>
      <c r="K54" s="57"/>
      <c r="L54" s="58"/>
      <c r="M54" s="58"/>
      <c r="N54" s="19"/>
      <c r="O54" s="19"/>
      <c r="P54" s="59"/>
      <c r="Q54" s="59"/>
      <c r="R54" s="59"/>
      <c r="S54" s="59"/>
      <c r="T54" s="63"/>
      <c r="U54" s="60"/>
      <c r="V54" s="60"/>
      <c r="W54" s="70"/>
      <c r="X54" s="70"/>
      <c r="Y54" s="57"/>
      <c r="Z54" s="53"/>
      <c r="AA54" s="21"/>
      <c r="AB54" s="61"/>
      <c r="AC54" s="65"/>
      <c r="AD54" s="50"/>
      <c r="AE54" s="62"/>
      <c r="AF54" s="62"/>
      <c r="AG54" s="62"/>
    </row>
    <row r="55" spans="1:33">
      <c r="A55" s="55"/>
      <c r="B55" s="18"/>
      <c r="C55" s="18"/>
      <c r="D55" s="18"/>
      <c r="E55" s="18"/>
      <c r="F55" s="56"/>
      <c r="G55" s="56"/>
      <c r="H55" s="18"/>
      <c r="I55" s="18"/>
      <c r="J55" s="57"/>
      <c r="K55" s="57"/>
      <c r="L55" s="58"/>
      <c r="M55" s="58"/>
      <c r="N55" s="19"/>
      <c r="O55" s="19"/>
      <c r="P55" s="59"/>
      <c r="Q55" s="59"/>
      <c r="R55" s="59"/>
      <c r="S55" s="59"/>
      <c r="T55" s="63"/>
      <c r="U55" s="60"/>
      <c r="V55" s="60"/>
      <c r="W55" s="70"/>
      <c r="X55" s="70"/>
      <c r="Y55" s="57"/>
      <c r="Z55" s="53"/>
      <c r="AA55" s="21"/>
      <c r="AB55" s="61"/>
      <c r="AC55" s="65"/>
      <c r="AD55" s="50"/>
      <c r="AE55" s="62"/>
      <c r="AF55" s="62"/>
      <c r="AG55" s="62"/>
    </row>
    <row r="56" spans="1:33" ht="15" thickBot="1">
      <c r="L56" s="67">
        <f>L6+L12+L18+L24+L28+L35+L42+L46+L53</f>
        <v>1139562</v>
      </c>
      <c r="M56" s="67">
        <f>M6+M12+M18+M24+M28+M35+M42+M46+M53</f>
        <v>37944</v>
      </c>
      <c r="N56" s="68"/>
      <c r="O56" s="68"/>
      <c r="P56" s="68"/>
      <c r="Q56" s="68"/>
      <c r="R56" s="68"/>
      <c r="S56" s="68"/>
      <c r="T56" s="69">
        <f>T6+T12+T18+T24+T28+T35+T42+T46+T53</f>
        <v>541.20973865200006</v>
      </c>
      <c r="U56" s="68"/>
      <c r="V56" s="68"/>
      <c r="W56" s="73">
        <f>W6+W12+W18+W24+W28+W35+W42+W46+W53</f>
        <v>129672.01799999998</v>
      </c>
      <c r="X56" s="73">
        <f>X6+X12+X18+X24+X28+X35+X42+X46+X53</f>
        <v>114656.08500000001</v>
      </c>
    </row>
    <row r="57" spans="1:33" ht="15" thickTop="1"/>
    <row r="58" spans="1:33">
      <c r="W58" s="72"/>
    </row>
  </sheetData>
  <autoFilter ref="A1:Y16"/>
  <mergeCells count="9">
    <mergeCell ref="A48:A52"/>
    <mergeCell ref="A44:A45"/>
    <mergeCell ref="A2:A5"/>
    <mergeCell ref="A8:A11"/>
    <mergeCell ref="A14:A17"/>
    <mergeCell ref="A26:A27"/>
    <mergeCell ref="A20:A23"/>
    <mergeCell ref="A30:A34"/>
    <mergeCell ref="A37:A41"/>
  </mergeCells>
  <conditionalFormatting sqref="C9:C10">
    <cfRule type="duplicateValues" dxfId="72" priority="57"/>
  </conditionalFormatting>
  <conditionalFormatting sqref="C17 C20:C21">
    <cfRule type="duplicateValues" dxfId="71" priority="53"/>
  </conditionalFormatting>
  <conditionalFormatting sqref="C27 C30:C31">
    <cfRule type="duplicateValues" dxfId="70" priority="61"/>
  </conditionalFormatting>
  <conditionalFormatting sqref="C38:C39">
    <cfRule type="duplicateValues" dxfId="69" priority="49"/>
  </conditionalFormatting>
  <conditionalFormatting sqref="C51:C52">
    <cfRule type="duplicateValues" dxfId="68" priority="41"/>
  </conditionalFormatting>
  <conditionalFormatting sqref="C56:C1048576 C1">
    <cfRule type="duplicateValues" dxfId="67" priority="2178"/>
  </conditionalFormatting>
  <conditionalFormatting sqref="D1:D1048576">
    <cfRule type="duplicateValues" dxfId="66" priority="89"/>
  </conditionalFormatting>
  <conditionalFormatting sqref="D9:D10">
    <cfRule type="duplicateValues" dxfId="65" priority="58"/>
    <cfRule type="duplicateValues" dxfId="64" priority="59"/>
    <cfRule type="duplicateValues" dxfId="63" priority="60"/>
  </conditionalFormatting>
  <conditionalFormatting sqref="D17 D20:D21">
    <cfRule type="duplicateValues" dxfId="62" priority="54"/>
    <cfRule type="duplicateValues" dxfId="61" priority="55"/>
    <cfRule type="duplicateValues" dxfId="60" priority="56"/>
  </conditionalFormatting>
  <conditionalFormatting sqref="D27 D30:D31">
    <cfRule type="duplicateValues" dxfId="59" priority="62"/>
    <cfRule type="duplicateValues" dxfId="58" priority="63"/>
    <cfRule type="duplicateValues" dxfId="57" priority="64"/>
  </conditionalFormatting>
  <conditionalFormatting sqref="D38:D39">
    <cfRule type="duplicateValues" dxfId="56" priority="50"/>
    <cfRule type="duplicateValues" dxfId="55" priority="51"/>
    <cfRule type="duplicateValues" dxfId="54" priority="52"/>
  </conditionalFormatting>
  <conditionalFormatting sqref="D51:D52">
    <cfRule type="duplicateValues" dxfId="53" priority="42"/>
    <cfRule type="duplicateValues" dxfId="52" priority="43"/>
    <cfRule type="duplicateValues" dxfId="51" priority="44"/>
  </conditionalFormatting>
  <conditionalFormatting sqref="D56:D1048576 D1">
    <cfRule type="duplicateValues" dxfId="50" priority="2184"/>
    <cfRule type="duplicateValues" dxfId="49" priority="2185"/>
    <cfRule type="duplicateValues" dxfId="48" priority="2186"/>
  </conditionalFormatting>
  <conditionalFormatting sqref="C16 C22:C23 C26 C32:C34 C37 C40:C41 C44:C45 C48:C50">
    <cfRule type="duplicateValues" dxfId="47" priority="2234"/>
  </conditionalFormatting>
  <conditionalFormatting sqref="D16 D22:D23 D26 D32:D34 D37 D40:D41 D44:D45 D48:D50">
    <cfRule type="duplicateValues" dxfId="46" priority="2239"/>
    <cfRule type="duplicateValues" dxfId="45" priority="2240"/>
    <cfRule type="duplicateValues" dxfId="44" priority="2241"/>
  </conditionalFormatting>
  <conditionalFormatting sqref="C6:C7">
    <cfRule type="duplicateValues" dxfId="43" priority="33"/>
  </conditionalFormatting>
  <conditionalFormatting sqref="D6:D7">
    <cfRule type="duplicateValues" dxfId="42" priority="34"/>
    <cfRule type="duplicateValues" dxfId="41" priority="35"/>
    <cfRule type="duplicateValues" dxfId="40" priority="36"/>
  </conditionalFormatting>
  <conditionalFormatting sqref="C12:C13">
    <cfRule type="duplicateValues" dxfId="39" priority="29"/>
  </conditionalFormatting>
  <conditionalFormatting sqref="D12:D13">
    <cfRule type="duplicateValues" dxfId="38" priority="30"/>
    <cfRule type="duplicateValues" dxfId="37" priority="31"/>
    <cfRule type="duplicateValues" dxfId="36" priority="32"/>
  </conditionalFormatting>
  <conditionalFormatting sqref="C14:C15 C2:C5 C8 C11">
    <cfRule type="duplicateValues" dxfId="35" priority="2242"/>
  </conditionalFormatting>
  <conditionalFormatting sqref="D14:D15 D2:D5 D8 D11">
    <cfRule type="duplicateValues" dxfId="34" priority="2251"/>
    <cfRule type="duplicateValues" dxfId="33" priority="2252"/>
    <cfRule type="duplicateValues" dxfId="32" priority="2253"/>
  </conditionalFormatting>
  <conditionalFormatting sqref="C18:C19">
    <cfRule type="duplicateValues" dxfId="31" priority="25"/>
  </conditionalFormatting>
  <conditionalFormatting sqref="D18:D19">
    <cfRule type="duplicateValues" dxfId="30" priority="26"/>
    <cfRule type="duplicateValues" dxfId="29" priority="27"/>
    <cfRule type="duplicateValues" dxfId="28" priority="28"/>
  </conditionalFormatting>
  <conditionalFormatting sqref="C24:C25">
    <cfRule type="duplicateValues" dxfId="27" priority="21"/>
  </conditionalFormatting>
  <conditionalFormatting sqref="D24:D25">
    <cfRule type="duplicateValues" dxfId="26" priority="22"/>
    <cfRule type="duplicateValues" dxfId="25" priority="23"/>
    <cfRule type="duplicateValues" dxfId="24" priority="24"/>
  </conditionalFormatting>
  <conditionalFormatting sqref="C28:C29">
    <cfRule type="duplicateValues" dxfId="23" priority="17"/>
  </conditionalFormatting>
  <conditionalFormatting sqref="D28:D29">
    <cfRule type="duplicateValues" dxfId="22" priority="18"/>
    <cfRule type="duplicateValues" dxfId="21" priority="19"/>
    <cfRule type="duplicateValues" dxfId="20" priority="20"/>
  </conditionalFormatting>
  <conditionalFormatting sqref="C35:C36">
    <cfRule type="duplicateValues" dxfId="19" priority="13"/>
  </conditionalFormatting>
  <conditionalFormatting sqref="D35:D36">
    <cfRule type="duplicateValues" dxfId="18" priority="14"/>
    <cfRule type="duplicateValues" dxfId="17" priority="15"/>
    <cfRule type="duplicateValues" dxfId="16" priority="16"/>
  </conditionalFormatting>
  <conditionalFormatting sqref="C42:C43">
    <cfRule type="duplicateValues" dxfId="15" priority="9"/>
  </conditionalFormatting>
  <conditionalFormatting sqref="D42:D43">
    <cfRule type="duplicateValues" dxfId="14" priority="10"/>
    <cfRule type="duplicateValues" dxfId="13" priority="11"/>
    <cfRule type="duplicateValues" dxfId="12" priority="12"/>
  </conditionalFormatting>
  <conditionalFormatting sqref="C55">
    <cfRule type="duplicateValues" dxfId="11" priority="2254"/>
  </conditionalFormatting>
  <conditionalFormatting sqref="D55">
    <cfRule type="duplicateValues" dxfId="10" priority="2260"/>
    <cfRule type="duplicateValues" dxfId="9" priority="2261"/>
    <cfRule type="duplicateValues" dxfId="8" priority="2262"/>
  </conditionalFormatting>
  <conditionalFormatting sqref="C46:C47">
    <cfRule type="duplicateValues" dxfId="7" priority="5"/>
  </conditionalFormatting>
  <conditionalFormatting sqref="D46:D47">
    <cfRule type="duplicateValues" dxfId="6" priority="6"/>
    <cfRule type="duplicateValues" dxfId="5" priority="7"/>
    <cfRule type="duplicateValues" dxfId="4" priority="8"/>
  </conditionalFormatting>
  <conditionalFormatting sqref="C53:C54">
    <cfRule type="duplicateValues" dxfId="3" priority="1"/>
  </conditionalFormatting>
  <conditionalFormatting sqref="D53:D54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0"/>
  </sheetPr>
  <dimension ref="A1:Z57"/>
  <sheetViews>
    <sheetView topLeftCell="B38" zoomScale="85" zoomScaleNormal="85" zoomScaleSheetLayoutView="115" workbookViewId="0">
      <selection activeCell="I10" sqref="I10:J10"/>
    </sheetView>
  </sheetViews>
  <sheetFormatPr defaultColWidth="14.44140625" defaultRowHeight="10.199999999999999"/>
  <cols>
    <col min="1" max="1" width="18.77734375" style="29" customWidth="1"/>
    <col min="2" max="2" width="17.77734375" style="29" bestFit="1" customWidth="1"/>
    <col min="3" max="3" width="14.21875" style="29" bestFit="1" customWidth="1"/>
    <col min="4" max="5" width="16.77734375" style="29" customWidth="1"/>
    <col min="6" max="6" width="17.77734375" style="29" bestFit="1" customWidth="1"/>
    <col min="7" max="7" width="31.21875" style="29" bestFit="1" customWidth="1"/>
    <col min="8" max="12" width="16.77734375" style="29" customWidth="1"/>
    <col min="13" max="13" width="14.44140625" style="30"/>
    <col min="14" max="16" width="16.77734375" style="29" customWidth="1"/>
    <col min="17" max="21" width="14.44140625" style="30"/>
    <col min="22" max="22" width="16.5546875" style="30" bestFit="1" customWidth="1"/>
    <col min="23" max="25" width="14.44140625" style="30"/>
    <col min="26" max="26" width="18.21875" style="30" bestFit="1" customWidth="1"/>
    <col min="27" max="16384" width="14.44140625" style="30"/>
  </cols>
  <sheetData>
    <row r="1" spans="1:26" s="22" customFormat="1" ht="24" customHeight="1">
      <c r="A1" s="85" t="s">
        <v>46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</row>
    <row r="2" spans="1:26" s="26" customFormat="1" ht="15" customHeight="1">
      <c r="A2" s="23" t="s">
        <v>47</v>
      </c>
      <c r="B2" s="24"/>
      <c r="C2" s="25"/>
      <c r="D2" s="25"/>
      <c r="E2" s="25"/>
      <c r="F2" s="25"/>
      <c r="G2" s="25"/>
      <c r="H2" s="25"/>
      <c r="I2" s="25"/>
      <c r="J2" s="25"/>
      <c r="K2" s="25"/>
      <c r="N2" s="25"/>
      <c r="O2" s="25"/>
      <c r="P2" s="25"/>
    </row>
    <row r="3" spans="1:26" ht="40.950000000000003" customHeight="1">
      <c r="A3" s="27" t="s">
        <v>48</v>
      </c>
      <c r="B3" s="47">
        <f>N6-2</f>
        <v>46120</v>
      </c>
      <c r="C3" s="28"/>
      <c r="D3" s="28"/>
      <c r="E3" s="28"/>
      <c r="F3" s="28"/>
      <c r="G3" s="28"/>
      <c r="H3" s="28"/>
      <c r="I3" s="28"/>
      <c r="J3" s="28"/>
      <c r="N3" s="28"/>
      <c r="O3" s="28"/>
      <c r="P3" s="28"/>
    </row>
    <row r="4" spans="1:26" ht="15" customHeight="1">
      <c r="A4" s="31" t="s">
        <v>49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3"/>
      <c r="X4" s="33"/>
      <c r="Y4" s="33"/>
      <c r="Z4" s="33"/>
    </row>
    <row r="5" spans="1:26" ht="42.75" customHeight="1">
      <c r="A5" s="34" t="s">
        <v>50</v>
      </c>
      <c r="B5" s="34" t="s">
        <v>51</v>
      </c>
      <c r="C5" s="35" t="s">
        <v>52</v>
      </c>
      <c r="D5" s="35" t="s">
        <v>53</v>
      </c>
      <c r="E5" s="34" t="s">
        <v>54</v>
      </c>
      <c r="F5" s="35" t="s">
        <v>55</v>
      </c>
      <c r="G5" s="34" t="s">
        <v>56</v>
      </c>
      <c r="H5" s="34" t="s">
        <v>57</v>
      </c>
      <c r="I5" s="34" t="s">
        <v>58</v>
      </c>
      <c r="J5" s="34" t="s">
        <v>59</v>
      </c>
      <c r="K5" s="34" t="s">
        <v>60</v>
      </c>
      <c r="L5" s="34" t="s">
        <v>61</v>
      </c>
      <c r="M5" s="34" t="s">
        <v>62</v>
      </c>
      <c r="N5" s="35" t="s">
        <v>63</v>
      </c>
      <c r="O5" s="34" t="s">
        <v>64</v>
      </c>
      <c r="P5" s="34" t="s">
        <v>65</v>
      </c>
      <c r="Q5" s="34" t="s">
        <v>66</v>
      </c>
      <c r="R5" s="36" t="s">
        <v>67</v>
      </c>
      <c r="S5" s="36" t="s">
        <v>68</v>
      </c>
      <c r="T5" s="34" t="s">
        <v>69</v>
      </c>
      <c r="U5" s="36" t="s">
        <v>70</v>
      </c>
      <c r="V5" s="36" t="s">
        <v>71</v>
      </c>
      <c r="W5" s="36" t="s">
        <v>72</v>
      </c>
      <c r="X5" s="36" t="s">
        <v>73</v>
      </c>
      <c r="Y5" s="36" t="s">
        <v>74</v>
      </c>
      <c r="Z5" s="37" t="s">
        <v>75</v>
      </c>
    </row>
    <row r="6" spans="1:26" ht="14.4">
      <c r="A6" s="38"/>
      <c r="B6" s="38"/>
      <c r="C6" s="39"/>
      <c r="D6" s="39"/>
      <c r="E6" s="39" t="s">
        <v>76</v>
      </c>
      <c r="F6" s="40" t="s">
        <v>77</v>
      </c>
      <c r="G6" s="46" t="s">
        <v>41</v>
      </c>
      <c r="H6" s="39"/>
      <c r="I6" s="41" t="str">
        <f>Sheet1!B2</f>
        <v>0973268127</v>
      </c>
      <c r="J6" s="41" t="str">
        <f>Sheet1!C2</f>
        <v>672944123</v>
      </c>
      <c r="K6" s="42">
        <f>Sheet1!M2</f>
        <v>2</v>
      </c>
      <c r="L6" s="71">
        <f>Sheet1!W2</f>
        <v>20.655999999999999</v>
      </c>
      <c r="M6" s="45">
        <f>Sheet1!T2</f>
        <v>5.2215839999999999E-2</v>
      </c>
      <c r="N6" s="43">
        <f>Sheet1!F2</f>
        <v>46122</v>
      </c>
      <c r="O6" s="44"/>
      <c r="P6" s="44"/>
      <c r="Q6" s="44"/>
      <c r="R6" s="44"/>
      <c r="S6" s="44"/>
      <c r="T6" s="44"/>
      <c r="U6" s="44"/>
      <c r="V6" s="44"/>
      <c r="W6" s="43"/>
      <c r="X6" s="43"/>
      <c r="Y6" s="43"/>
      <c r="Z6" s="44"/>
    </row>
    <row r="7" spans="1:26" ht="14.4">
      <c r="A7" s="38"/>
      <c r="B7" s="38"/>
      <c r="C7" s="39"/>
      <c r="D7" s="39"/>
      <c r="E7" s="39" t="s">
        <v>76</v>
      </c>
      <c r="F7" s="40" t="s">
        <v>77</v>
      </c>
      <c r="G7" s="46" t="s">
        <v>41</v>
      </c>
      <c r="H7" s="39"/>
      <c r="I7" s="41" t="str">
        <f>Sheet1!B3</f>
        <v>0973268127</v>
      </c>
      <c r="J7" s="41" t="str">
        <f>Sheet1!C3</f>
        <v>672948712</v>
      </c>
      <c r="K7" s="42">
        <f>Sheet1!M3</f>
        <v>4</v>
      </c>
      <c r="L7" s="71">
        <f>Sheet1!W3</f>
        <v>35.231999999999999</v>
      </c>
      <c r="M7" s="45">
        <f>Sheet1!T3</f>
        <v>8.5575679999999987E-2</v>
      </c>
      <c r="N7" s="43">
        <f>Sheet1!F3</f>
        <v>46122</v>
      </c>
      <c r="O7" s="44"/>
      <c r="P7" s="44"/>
      <c r="Q7" s="44"/>
      <c r="R7" s="44"/>
      <c r="S7" s="44"/>
      <c r="T7" s="44"/>
      <c r="U7" s="44"/>
      <c r="V7" s="44"/>
      <c r="W7" s="43"/>
      <c r="X7" s="43"/>
      <c r="Y7" s="43"/>
      <c r="Z7" s="44"/>
    </row>
    <row r="8" spans="1:26" ht="14.4">
      <c r="A8" s="38"/>
      <c r="B8" s="38"/>
      <c r="C8" s="39"/>
      <c r="D8" s="39"/>
      <c r="E8" s="39" t="s">
        <v>76</v>
      </c>
      <c r="F8" s="40" t="s">
        <v>77</v>
      </c>
      <c r="G8" s="46" t="s">
        <v>41</v>
      </c>
      <c r="H8" s="39"/>
      <c r="I8" s="41" t="str">
        <f>Sheet1!B4</f>
        <v>0973268127</v>
      </c>
      <c r="J8" s="41" t="str">
        <f>Sheet1!C4</f>
        <v>675229715</v>
      </c>
      <c r="K8" s="42">
        <f>Sheet1!M4</f>
        <v>2192</v>
      </c>
      <c r="L8" s="71">
        <f>Sheet1!W4</f>
        <v>15287.008</v>
      </c>
      <c r="M8" s="45">
        <f>Sheet1!T4</f>
        <v>37.998600576000008</v>
      </c>
      <c r="N8" s="43">
        <f>Sheet1!F4</f>
        <v>46122</v>
      </c>
      <c r="O8" s="44"/>
      <c r="P8" s="44"/>
      <c r="Q8" s="44"/>
      <c r="R8" s="44"/>
      <c r="S8" s="44"/>
      <c r="T8" s="44"/>
      <c r="U8" s="44"/>
      <c r="V8" s="44"/>
      <c r="W8" s="43"/>
      <c r="X8" s="43"/>
      <c r="Y8" s="43"/>
      <c r="Z8" s="44"/>
    </row>
    <row r="9" spans="1:26" ht="14.4">
      <c r="A9" s="38"/>
      <c r="B9" s="38"/>
      <c r="C9" s="39"/>
      <c r="D9" s="39"/>
      <c r="E9" s="39" t="s">
        <v>76</v>
      </c>
      <c r="F9" s="40" t="s">
        <v>77</v>
      </c>
      <c r="G9" s="46" t="s">
        <v>41</v>
      </c>
      <c r="H9" s="39"/>
      <c r="I9" s="41" t="str">
        <f>Sheet1!B5</f>
        <v>0973268127</v>
      </c>
      <c r="J9" s="41" t="str">
        <f>Sheet1!C5</f>
        <v>680451997</v>
      </c>
      <c r="K9" s="42">
        <f>Sheet1!M5</f>
        <v>550</v>
      </c>
      <c r="L9" s="71">
        <f>Sheet1!W5</f>
        <v>3828</v>
      </c>
      <c r="M9" s="45">
        <f>Sheet1!T5</f>
        <v>9.8498400000000004</v>
      </c>
      <c r="N9" s="43">
        <f>Sheet1!F5</f>
        <v>46122</v>
      </c>
      <c r="O9" s="44"/>
      <c r="P9" s="44"/>
      <c r="Q9" s="44"/>
      <c r="R9" s="44"/>
      <c r="S9" s="44"/>
      <c r="T9" s="44"/>
      <c r="U9" s="44"/>
      <c r="V9" s="44"/>
      <c r="W9" s="43"/>
      <c r="X9" s="43"/>
      <c r="Y9" s="43"/>
      <c r="Z9" s="44"/>
    </row>
    <row r="10" spans="1:26" ht="14.4">
      <c r="A10" s="38"/>
      <c r="B10" s="38"/>
      <c r="C10" s="39"/>
      <c r="D10" s="39"/>
      <c r="E10" s="39" t="s">
        <v>76</v>
      </c>
      <c r="F10" s="40" t="s">
        <v>77</v>
      </c>
      <c r="G10" s="46" t="s">
        <v>41</v>
      </c>
      <c r="H10" s="39"/>
      <c r="I10" s="41"/>
      <c r="J10" s="41"/>
      <c r="K10" s="42">
        <f>Sheet1!M6</f>
        <v>2748</v>
      </c>
      <c r="L10" s="71">
        <f>Sheet1!W6</f>
        <v>19170.896000000001</v>
      </c>
      <c r="M10" s="45">
        <f>Sheet1!T6</f>
        <v>47.986232096000009</v>
      </c>
      <c r="N10" s="43"/>
      <c r="O10" s="44"/>
      <c r="P10" s="44"/>
      <c r="Q10" s="44"/>
      <c r="R10" s="44"/>
      <c r="S10" s="44"/>
      <c r="T10" s="44"/>
      <c r="U10" s="44"/>
      <c r="V10" s="44"/>
      <c r="W10" s="43"/>
      <c r="X10" s="43"/>
      <c r="Y10" s="43"/>
      <c r="Z10" s="44"/>
    </row>
    <row r="11" spans="1:26" ht="14.4">
      <c r="A11" s="38"/>
      <c r="B11" s="38"/>
      <c r="C11" s="39"/>
      <c r="D11" s="39"/>
      <c r="E11" s="39" t="s">
        <v>76</v>
      </c>
      <c r="F11" s="40" t="s">
        <v>77</v>
      </c>
      <c r="G11" s="46" t="s">
        <v>41</v>
      </c>
      <c r="H11" s="39"/>
      <c r="I11" s="41"/>
      <c r="J11" s="41"/>
      <c r="K11" s="42"/>
      <c r="L11" s="71"/>
      <c r="M11" s="45"/>
      <c r="N11" s="43"/>
      <c r="O11" s="44"/>
      <c r="P11" s="44"/>
      <c r="Q11" s="44"/>
      <c r="R11" s="44"/>
      <c r="S11" s="44"/>
      <c r="T11" s="44"/>
      <c r="U11" s="44"/>
      <c r="V11" s="44"/>
      <c r="W11" s="43"/>
      <c r="X11" s="43"/>
      <c r="Y11" s="43"/>
      <c r="Z11" s="44"/>
    </row>
    <row r="12" spans="1:26" ht="14.4">
      <c r="A12" s="38"/>
      <c r="B12" s="38"/>
      <c r="C12" s="39"/>
      <c r="D12" s="39"/>
      <c r="E12" s="39" t="s">
        <v>76</v>
      </c>
      <c r="F12" s="40" t="s">
        <v>77</v>
      </c>
      <c r="G12" s="46" t="s">
        <v>41</v>
      </c>
      <c r="H12" s="39"/>
      <c r="I12" s="41" t="str">
        <f>Sheet1!B8</f>
        <v>0973268127</v>
      </c>
      <c r="J12" s="41" t="str">
        <f>Sheet1!C8</f>
        <v>680451997</v>
      </c>
      <c r="K12" s="42">
        <f>Sheet1!M8</f>
        <v>738</v>
      </c>
      <c r="L12" s="71">
        <f>Sheet1!W8</f>
        <v>5136.4799999999996</v>
      </c>
      <c r="M12" s="45">
        <f>Sheet1!T8</f>
        <v>13.216694399999998</v>
      </c>
      <c r="N12" s="43">
        <f>Sheet1!F8</f>
        <v>46122</v>
      </c>
      <c r="O12" s="44"/>
      <c r="P12" s="44"/>
      <c r="Q12" s="44"/>
      <c r="R12" s="44"/>
      <c r="S12" s="44"/>
      <c r="T12" s="44"/>
      <c r="U12" s="44"/>
      <c r="V12" s="44"/>
      <c r="W12" s="43"/>
      <c r="X12" s="43"/>
      <c r="Y12" s="43"/>
      <c r="Z12" s="44"/>
    </row>
    <row r="13" spans="1:26" ht="14.4">
      <c r="A13" s="38"/>
      <c r="B13" s="38"/>
      <c r="C13" s="39"/>
      <c r="D13" s="39"/>
      <c r="E13" s="39" t="s">
        <v>76</v>
      </c>
      <c r="F13" s="40" t="s">
        <v>77</v>
      </c>
      <c r="G13" s="46" t="s">
        <v>41</v>
      </c>
      <c r="H13" s="39"/>
      <c r="I13" s="41" t="str">
        <f>Sheet1!B9</f>
        <v>0973329164</v>
      </c>
      <c r="J13" s="41" t="str">
        <f>Sheet1!C9</f>
        <v>680628301</v>
      </c>
      <c r="K13" s="42">
        <f>Sheet1!M9</f>
        <v>485</v>
      </c>
      <c r="L13" s="71">
        <f>Sheet1!W9</f>
        <v>2779.05</v>
      </c>
      <c r="M13" s="45">
        <f>Sheet1!T9</f>
        <v>5.2426618200000004</v>
      </c>
      <c r="N13" s="43">
        <f>Sheet1!F9</f>
        <v>46122</v>
      </c>
      <c r="O13" s="44"/>
      <c r="P13" s="44"/>
      <c r="Q13" s="44"/>
      <c r="R13" s="44"/>
      <c r="S13" s="44"/>
      <c r="T13" s="44"/>
      <c r="U13" s="44"/>
      <c r="V13" s="44"/>
      <c r="W13" s="43"/>
      <c r="X13" s="43"/>
      <c r="Y13" s="43"/>
      <c r="Z13" s="44"/>
    </row>
    <row r="14" spans="1:26" ht="14.4">
      <c r="A14" s="38"/>
      <c r="B14" s="38"/>
      <c r="C14" s="39"/>
      <c r="D14" s="39"/>
      <c r="E14" s="39" t="s">
        <v>76</v>
      </c>
      <c r="F14" s="40" t="s">
        <v>77</v>
      </c>
      <c r="G14" s="46" t="s">
        <v>41</v>
      </c>
      <c r="H14" s="39"/>
      <c r="I14" s="41" t="str">
        <f>Sheet1!B10</f>
        <v>0973333286</v>
      </c>
      <c r="J14" s="41" t="str">
        <f>Sheet1!C10</f>
        <v>679290076</v>
      </c>
      <c r="K14" s="42">
        <f>Sheet1!M10</f>
        <v>983</v>
      </c>
      <c r="L14" s="71">
        <f>Sheet1!W10</f>
        <v>5339.6559999999999</v>
      </c>
      <c r="M14" s="45">
        <f>Sheet1!T10</f>
        <v>11.357540714000002</v>
      </c>
      <c r="N14" s="43">
        <f>Sheet1!F10</f>
        <v>46122</v>
      </c>
      <c r="O14" s="44"/>
      <c r="P14" s="44"/>
      <c r="Q14" s="44"/>
      <c r="R14" s="44"/>
      <c r="S14" s="44"/>
      <c r="T14" s="44"/>
      <c r="U14" s="44"/>
      <c r="V14" s="44"/>
      <c r="W14" s="43"/>
      <c r="X14" s="43"/>
      <c r="Y14" s="43"/>
      <c r="Z14" s="44"/>
    </row>
    <row r="15" spans="1:26" ht="14.4">
      <c r="A15" s="38"/>
      <c r="B15" s="38"/>
      <c r="C15" s="39"/>
      <c r="D15" s="39"/>
      <c r="E15" s="39" t="s">
        <v>76</v>
      </c>
      <c r="F15" s="40" t="s">
        <v>77</v>
      </c>
      <c r="G15" s="46" t="s">
        <v>41</v>
      </c>
      <c r="H15" s="39"/>
      <c r="I15" s="41" t="str">
        <f>Sheet1!B11</f>
        <v>0973334243</v>
      </c>
      <c r="J15" s="41" t="str">
        <f>Sheet1!C11</f>
        <v>578227787</v>
      </c>
      <c r="K15" s="42">
        <f>Sheet1!M11</f>
        <v>2730</v>
      </c>
      <c r="L15" s="71">
        <f>Sheet1!W11</f>
        <v>6082.4400000000005</v>
      </c>
      <c r="M15" s="45">
        <f>Sheet1!T11</f>
        <v>28.358366399999998</v>
      </c>
      <c r="N15" s="43">
        <f>Sheet1!F11</f>
        <v>46122</v>
      </c>
      <c r="O15" s="44"/>
      <c r="P15" s="44"/>
      <c r="Q15" s="44"/>
      <c r="R15" s="44"/>
      <c r="S15" s="44"/>
      <c r="T15" s="44"/>
      <c r="U15" s="44"/>
      <c r="V15" s="44"/>
      <c r="W15" s="43"/>
      <c r="X15" s="43"/>
      <c r="Y15" s="43"/>
      <c r="Z15" s="44"/>
    </row>
    <row r="16" spans="1:26" ht="14.4">
      <c r="A16" s="38"/>
      <c r="B16" s="38"/>
      <c r="C16" s="39"/>
      <c r="D16" s="39"/>
      <c r="E16" s="39" t="s">
        <v>76</v>
      </c>
      <c r="F16" s="40" t="s">
        <v>77</v>
      </c>
      <c r="G16" s="46" t="s">
        <v>41</v>
      </c>
      <c r="H16" s="39"/>
      <c r="I16" s="41"/>
      <c r="J16" s="41"/>
      <c r="K16" s="42">
        <f>Sheet1!M12</f>
        <v>4936</v>
      </c>
      <c r="L16" s="71">
        <f>Sheet1!W12</f>
        <v>19337.626</v>
      </c>
      <c r="M16" s="45">
        <f>Sheet1!T12</f>
        <v>58.175263333999993</v>
      </c>
      <c r="N16" s="43"/>
      <c r="O16" s="44"/>
      <c r="P16" s="44"/>
      <c r="Q16" s="44"/>
      <c r="R16" s="44"/>
      <c r="S16" s="44"/>
      <c r="T16" s="44"/>
      <c r="U16" s="44"/>
      <c r="V16" s="44"/>
      <c r="W16" s="43"/>
      <c r="X16" s="43"/>
      <c r="Y16" s="43"/>
      <c r="Z16" s="44"/>
    </row>
    <row r="17" spans="1:26" ht="14.4">
      <c r="A17" s="38"/>
      <c r="B17" s="38"/>
      <c r="C17" s="39"/>
      <c r="D17" s="39"/>
      <c r="E17" s="39" t="s">
        <v>76</v>
      </c>
      <c r="F17" s="40" t="s">
        <v>77</v>
      </c>
      <c r="G17" s="46" t="s">
        <v>41</v>
      </c>
      <c r="H17" s="39"/>
      <c r="I17" s="41"/>
      <c r="J17" s="41"/>
      <c r="K17" s="42"/>
      <c r="L17" s="71"/>
      <c r="M17" s="45"/>
      <c r="N17" s="43"/>
      <c r="O17" s="44"/>
      <c r="P17" s="44"/>
      <c r="Q17" s="44"/>
      <c r="R17" s="44"/>
      <c r="S17" s="44"/>
      <c r="T17" s="44"/>
      <c r="U17" s="44"/>
      <c r="V17" s="44"/>
      <c r="W17" s="43"/>
      <c r="X17" s="43"/>
      <c r="Y17" s="43"/>
      <c r="Z17" s="44"/>
    </row>
    <row r="18" spans="1:26" ht="14.4">
      <c r="A18" s="38"/>
      <c r="B18" s="38"/>
      <c r="C18" s="39"/>
      <c r="D18" s="39"/>
      <c r="E18" s="39" t="s">
        <v>76</v>
      </c>
      <c r="F18" s="40" t="s">
        <v>77</v>
      </c>
      <c r="G18" s="46" t="s">
        <v>41</v>
      </c>
      <c r="H18" s="39"/>
      <c r="I18" s="41" t="str">
        <f>Sheet1!B14</f>
        <v>0973334243</v>
      </c>
      <c r="J18" s="41" t="str">
        <f>Sheet1!C14</f>
        <v>578227787</v>
      </c>
      <c r="K18" s="42">
        <f>Sheet1!M14</f>
        <v>85</v>
      </c>
      <c r="L18" s="71">
        <f>Sheet1!W14</f>
        <v>189.38000000000002</v>
      </c>
      <c r="M18" s="45">
        <f>Sheet1!T14</f>
        <v>0.88295279999999998</v>
      </c>
      <c r="N18" s="43">
        <f>Sheet1!F14</f>
        <v>46122</v>
      </c>
      <c r="O18" s="44"/>
      <c r="P18" s="44"/>
      <c r="Q18" s="44"/>
      <c r="R18" s="44"/>
      <c r="S18" s="44"/>
      <c r="T18" s="44"/>
      <c r="U18" s="44"/>
      <c r="V18" s="44"/>
      <c r="W18" s="43"/>
      <c r="X18" s="43"/>
      <c r="Y18" s="43"/>
      <c r="Z18" s="44"/>
    </row>
    <row r="19" spans="1:26" ht="14.4">
      <c r="A19" s="38"/>
      <c r="B19" s="38"/>
      <c r="C19" s="39"/>
      <c r="D19" s="39"/>
      <c r="E19" s="39" t="s">
        <v>76</v>
      </c>
      <c r="F19" s="40" t="s">
        <v>77</v>
      </c>
      <c r="G19" s="46" t="s">
        <v>41</v>
      </c>
      <c r="H19" s="39"/>
      <c r="I19" s="41" t="str">
        <f>Sheet1!B15</f>
        <v>0973334243</v>
      </c>
      <c r="J19" s="41" t="str">
        <f>Sheet1!C15</f>
        <v>673195228</v>
      </c>
      <c r="K19" s="42">
        <f>Sheet1!M15</f>
        <v>3009</v>
      </c>
      <c r="L19" s="71">
        <f>Sheet1!W15</f>
        <v>6704.0520000000006</v>
      </c>
      <c r="M19" s="45">
        <f>Sheet1!T15</f>
        <v>31.25652912</v>
      </c>
      <c r="N19" s="43">
        <f>Sheet1!F15</f>
        <v>46122</v>
      </c>
      <c r="O19" s="44"/>
      <c r="P19" s="44"/>
      <c r="Q19" s="44"/>
      <c r="R19" s="44"/>
      <c r="S19" s="44"/>
      <c r="T19" s="44"/>
      <c r="U19" s="44"/>
      <c r="V19" s="44"/>
      <c r="W19" s="43"/>
      <c r="X19" s="43"/>
      <c r="Y19" s="43"/>
      <c r="Z19" s="44"/>
    </row>
    <row r="20" spans="1:26" ht="14.4">
      <c r="A20" s="38"/>
      <c r="B20" s="38"/>
      <c r="C20" s="39"/>
      <c r="D20" s="39"/>
      <c r="E20" s="39" t="s">
        <v>76</v>
      </c>
      <c r="F20" s="40" t="s">
        <v>77</v>
      </c>
      <c r="G20" s="46" t="s">
        <v>41</v>
      </c>
      <c r="H20" s="39"/>
      <c r="I20" s="41" t="str">
        <f>Sheet1!B16</f>
        <v>0973334243</v>
      </c>
      <c r="J20" s="41" t="str">
        <f>Sheet1!C16</f>
        <v>595335499</v>
      </c>
      <c r="K20" s="42">
        <f>Sheet1!M16</f>
        <v>1258</v>
      </c>
      <c r="L20" s="71">
        <f>Sheet1!W16</f>
        <v>3245.64</v>
      </c>
      <c r="M20" s="45">
        <f>Sheet1!T16</f>
        <v>32.659692799999995</v>
      </c>
      <c r="N20" s="43">
        <f>Sheet1!F16</f>
        <v>46122</v>
      </c>
      <c r="O20" s="44"/>
      <c r="P20" s="44"/>
      <c r="Q20" s="44"/>
      <c r="R20" s="44"/>
      <c r="S20" s="44"/>
      <c r="T20" s="44"/>
      <c r="U20" s="44"/>
      <c r="V20" s="44"/>
      <c r="W20" s="43"/>
      <c r="X20" s="43"/>
      <c r="Y20" s="43"/>
      <c r="Z20" s="44"/>
    </row>
    <row r="21" spans="1:26" ht="14.4">
      <c r="A21" s="38"/>
      <c r="B21" s="38"/>
      <c r="C21" s="39"/>
      <c r="D21" s="39"/>
      <c r="E21" s="39" t="s">
        <v>76</v>
      </c>
      <c r="F21" s="40" t="s">
        <v>77</v>
      </c>
      <c r="G21" s="46" t="s">
        <v>41</v>
      </c>
      <c r="H21" s="39"/>
      <c r="I21" s="41" t="str">
        <f>Sheet1!B17</f>
        <v>0973334243</v>
      </c>
      <c r="J21" s="41" t="str">
        <f>Sheet1!C17</f>
        <v>655353271</v>
      </c>
      <c r="K21" s="42">
        <f>Sheet1!M17</f>
        <v>21</v>
      </c>
      <c r="L21" s="71">
        <f>Sheet1!W17</f>
        <v>65.31</v>
      </c>
      <c r="M21" s="45">
        <f>Sheet1!T17</f>
        <v>0.20265369600000002</v>
      </c>
      <c r="N21" s="43">
        <f>Sheet1!F17</f>
        <v>46122</v>
      </c>
      <c r="O21" s="44"/>
      <c r="P21" s="44"/>
      <c r="Q21" s="44"/>
      <c r="R21" s="44"/>
      <c r="S21" s="44"/>
      <c r="T21" s="44"/>
      <c r="U21" s="44"/>
      <c r="V21" s="44"/>
      <c r="W21" s="43"/>
      <c r="X21" s="43"/>
      <c r="Y21" s="43"/>
      <c r="Z21" s="44"/>
    </row>
    <row r="22" spans="1:26" ht="14.4">
      <c r="A22" s="38"/>
      <c r="B22" s="38"/>
      <c r="C22" s="39"/>
      <c r="D22" s="39"/>
      <c r="E22" s="39" t="s">
        <v>76</v>
      </c>
      <c r="F22" s="40" t="s">
        <v>77</v>
      </c>
      <c r="G22" s="46" t="s">
        <v>41</v>
      </c>
      <c r="H22" s="39"/>
      <c r="I22" s="41"/>
      <c r="J22" s="41"/>
      <c r="K22" s="42">
        <f>Sheet1!M18</f>
        <v>4373</v>
      </c>
      <c r="L22" s="71">
        <f>Sheet1!W18</f>
        <v>10204.382</v>
      </c>
      <c r="M22" s="45">
        <f>Sheet1!T18</f>
        <v>65.001828415999995</v>
      </c>
      <c r="N22" s="43"/>
      <c r="O22" s="44"/>
      <c r="P22" s="44"/>
      <c r="Q22" s="44"/>
      <c r="R22" s="44"/>
      <c r="S22" s="44"/>
      <c r="T22" s="44"/>
      <c r="U22" s="44"/>
      <c r="V22" s="44"/>
      <c r="W22" s="43"/>
      <c r="X22" s="43"/>
      <c r="Y22" s="43"/>
      <c r="Z22" s="44"/>
    </row>
    <row r="23" spans="1:26" ht="14.4">
      <c r="A23" s="38"/>
      <c r="B23" s="38"/>
      <c r="C23" s="39"/>
      <c r="D23" s="39"/>
      <c r="E23" s="39" t="s">
        <v>76</v>
      </c>
      <c r="F23" s="40" t="s">
        <v>77</v>
      </c>
      <c r="G23" s="46" t="s">
        <v>41</v>
      </c>
      <c r="H23" s="39"/>
      <c r="I23" s="41"/>
      <c r="J23" s="41"/>
      <c r="K23" s="42"/>
      <c r="L23" s="71"/>
      <c r="M23" s="45"/>
      <c r="N23" s="43"/>
      <c r="O23" s="44"/>
      <c r="P23" s="44"/>
      <c r="Q23" s="44"/>
      <c r="R23" s="44"/>
      <c r="S23" s="44"/>
      <c r="T23" s="44"/>
      <c r="U23" s="44"/>
      <c r="V23" s="44"/>
      <c r="W23" s="43"/>
      <c r="X23" s="43"/>
      <c r="Y23" s="43"/>
      <c r="Z23" s="44"/>
    </row>
    <row r="24" spans="1:26" ht="14.4">
      <c r="A24" s="38"/>
      <c r="B24" s="38"/>
      <c r="C24" s="39"/>
      <c r="D24" s="39"/>
      <c r="E24" s="39" t="s">
        <v>76</v>
      </c>
      <c r="F24" s="40" t="s">
        <v>77</v>
      </c>
      <c r="G24" s="46" t="s">
        <v>41</v>
      </c>
      <c r="H24" s="39"/>
      <c r="I24" s="41" t="str">
        <f>Sheet1!B20</f>
        <v>0973334243</v>
      </c>
      <c r="J24" s="41" t="str">
        <f>Sheet1!C20</f>
        <v>655353271</v>
      </c>
      <c r="K24" s="42">
        <f>Sheet1!M20</f>
        <v>1736</v>
      </c>
      <c r="L24" s="71">
        <f>Sheet1!W20</f>
        <v>5398.96</v>
      </c>
      <c r="M24" s="45">
        <f>Sheet1!T20</f>
        <v>16.752705536000001</v>
      </c>
      <c r="N24" s="43">
        <f>Sheet1!F20</f>
        <v>46122</v>
      </c>
      <c r="O24" s="44"/>
      <c r="P24" s="44"/>
      <c r="Q24" s="44"/>
      <c r="R24" s="44"/>
      <c r="S24" s="44"/>
      <c r="T24" s="44"/>
      <c r="U24" s="44"/>
      <c r="V24" s="44"/>
      <c r="W24" s="43"/>
      <c r="X24" s="43"/>
      <c r="Y24" s="43"/>
      <c r="Z24" s="44"/>
    </row>
    <row r="25" spans="1:26" ht="14.4">
      <c r="A25" s="38"/>
      <c r="B25" s="38"/>
      <c r="C25" s="39"/>
      <c r="D25" s="39"/>
      <c r="E25" s="39" t="s">
        <v>76</v>
      </c>
      <c r="F25" s="40" t="s">
        <v>77</v>
      </c>
      <c r="G25" s="46" t="s">
        <v>41</v>
      </c>
      <c r="H25" s="39"/>
      <c r="I25" s="41" t="str">
        <f>Sheet1!B21</f>
        <v>0973334243</v>
      </c>
      <c r="J25" s="41" t="str">
        <f>Sheet1!C21</f>
        <v>655353273</v>
      </c>
      <c r="K25" s="42">
        <f>Sheet1!M21</f>
        <v>982</v>
      </c>
      <c r="L25" s="71">
        <f>Sheet1!W21</f>
        <v>3054.02</v>
      </c>
      <c r="M25" s="45">
        <f>Sheet1!T21</f>
        <v>9.4764728320000007</v>
      </c>
      <c r="N25" s="43">
        <f>Sheet1!F21</f>
        <v>46122</v>
      </c>
      <c r="O25" s="44"/>
      <c r="P25" s="44"/>
      <c r="Q25" s="44"/>
      <c r="R25" s="44"/>
      <c r="S25" s="44"/>
      <c r="T25" s="44"/>
      <c r="U25" s="44"/>
      <c r="V25" s="44"/>
      <c r="W25" s="43"/>
      <c r="X25" s="43"/>
      <c r="Y25" s="43"/>
      <c r="Z25" s="44"/>
    </row>
    <row r="26" spans="1:26" ht="14.4">
      <c r="A26" s="38"/>
      <c r="B26" s="38"/>
      <c r="C26" s="39"/>
      <c r="D26" s="39"/>
      <c r="E26" s="39" t="s">
        <v>76</v>
      </c>
      <c r="F26" s="40" t="s">
        <v>77</v>
      </c>
      <c r="G26" s="46" t="s">
        <v>41</v>
      </c>
      <c r="H26" s="39"/>
      <c r="I26" s="41" t="str">
        <f>Sheet1!B22</f>
        <v>0973334243</v>
      </c>
      <c r="J26" s="41" t="str">
        <f>Sheet1!C22</f>
        <v>655353268</v>
      </c>
      <c r="K26" s="42">
        <f>Sheet1!M22</f>
        <v>829</v>
      </c>
      <c r="L26" s="71">
        <f>Sheet1!W22</f>
        <v>2578.19</v>
      </c>
      <c r="M26" s="45">
        <f>Sheet1!T22</f>
        <v>7.9999959040000004</v>
      </c>
      <c r="N26" s="43">
        <f>Sheet1!F22</f>
        <v>46122</v>
      </c>
      <c r="O26" s="44"/>
      <c r="P26" s="44"/>
      <c r="Q26" s="44"/>
      <c r="R26" s="44"/>
      <c r="S26" s="44"/>
      <c r="T26" s="44"/>
      <c r="U26" s="44"/>
      <c r="V26" s="44"/>
      <c r="W26" s="43"/>
      <c r="X26" s="43"/>
      <c r="Y26" s="43"/>
      <c r="Z26" s="44"/>
    </row>
    <row r="27" spans="1:26" ht="14.4">
      <c r="A27" s="38"/>
      <c r="B27" s="38"/>
      <c r="C27" s="39"/>
      <c r="D27" s="39"/>
      <c r="E27" s="39" t="s">
        <v>76</v>
      </c>
      <c r="F27" s="40" t="s">
        <v>77</v>
      </c>
      <c r="G27" s="46" t="s">
        <v>41</v>
      </c>
      <c r="H27" s="39"/>
      <c r="I27" s="41" t="str">
        <f>Sheet1!B23</f>
        <v>0973334243</v>
      </c>
      <c r="J27" s="41" t="str">
        <f>Sheet1!C23</f>
        <v>655369570</v>
      </c>
      <c r="K27" s="42">
        <f>Sheet1!M23</f>
        <v>1089</v>
      </c>
      <c r="L27" s="71">
        <f>Sheet1!W23</f>
        <v>5157.5039999999999</v>
      </c>
      <c r="M27" s="45">
        <f>Sheet1!T23</f>
        <v>30.774012884999998</v>
      </c>
      <c r="N27" s="43">
        <f>Sheet1!F23</f>
        <v>46122</v>
      </c>
      <c r="O27" s="44"/>
      <c r="P27" s="44"/>
      <c r="Q27" s="44"/>
      <c r="R27" s="44"/>
      <c r="S27" s="44"/>
      <c r="T27" s="44"/>
      <c r="U27" s="44"/>
      <c r="V27" s="44"/>
      <c r="W27" s="43"/>
      <c r="X27" s="43"/>
      <c r="Y27" s="43"/>
      <c r="Z27" s="44"/>
    </row>
    <row r="28" spans="1:26" ht="14.4">
      <c r="A28" s="38"/>
      <c r="B28" s="38"/>
      <c r="C28" s="39"/>
      <c r="D28" s="39"/>
      <c r="E28" s="39" t="s">
        <v>76</v>
      </c>
      <c r="F28" s="40" t="s">
        <v>77</v>
      </c>
      <c r="G28" s="46" t="s">
        <v>41</v>
      </c>
      <c r="H28" s="39"/>
      <c r="I28" s="41"/>
      <c r="J28" s="41"/>
      <c r="K28" s="42">
        <f>Sheet1!M24</f>
        <v>4636</v>
      </c>
      <c r="L28" s="71">
        <f>Sheet1!W24</f>
        <v>16188.673999999999</v>
      </c>
      <c r="M28" s="45">
        <f>Sheet1!T24</f>
        <v>65.003187156999999</v>
      </c>
      <c r="N28" s="43"/>
      <c r="O28" s="44"/>
      <c r="P28" s="44"/>
      <c r="Q28" s="44"/>
      <c r="R28" s="44"/>
      <c r="S28" s="44"/>
      <c r="T28" s="44"/>
      <c r="U28" s="44"/>
      <c r="V28" s="44"/>
      <c r="W28" s="43"/>
      <c r="X28" s="43"/>
      <c r="Y28" s="43"/>
      <c r="Z28" s="44"/>
    </row>
    <row r="29" spans="1:26" ht="14.4">
      <c r="A29" s="38"/>
      <c r="B29" s="38"/>
      <c r="C29" s="39"/>
      <c r="D29" s="39"/>
      <c r="E29" s="39" t="s">
        <v>76</v>
      </c>
      <c r="F29" s="40" t="s">
        <v>77</v>
      </c>
      <c r="G29" s="46" t="s">
        <v>41</v>
      </c>
      <c r="H29" s="39"/>
      <c r="I29" s="41"/>
      <c r="J29" s="41"/>
      <c r="K29" s="42"/>
      <c r="L29" s="71"/>
      <c r="M29" s="45"/>
      <c r="N29" s="43"/>
      <c r="O29" s="44"/>
      <c r="P29" s="44"/>
      <c r="Q29" s="44"/>
      <c r="R29" s="44"/>
      <c r="S29" s="44"/>
      <c r="T29" s="44"/>
      <c r="U29" s="44"/>
      <c r="V29" s="44"/>
      <c r="W29" s="43"/>
      <c r="X29" s="43"/>
      <c r="Y29" s="43"/>
      <c r="Z29" s="44"/>
    </row>
    <row r="30" spans="1:26" ht="14.4">
      <c r="A30" s="38"/>
      <c r="B30" s="38"/>
      <c r="C30" s="39"/>
      <c r="D30" s="39"/>
      <c r="E30" s="39" t="s">
        <v>76</v>
      </c>
      <c r="F30" s="40" t="s">
        <v>77</v>
      </c>
      <c r="G30" s="46" t="s">
        <v>41</v>
      </c>
      <c r="H30" s="39"/>
      <c r="I30" s="41" t="str">
        <f>Sheet1!B26</f>
        <v>0973334243</v>
      </c>
      <c r="J30" s="41" t="str">
        <f>Sheet1!C26</f>
        <v>655369570</v>
      </c>
      <c r="K30" s="42">
        <f>Sheet1!M26</f>
        <v>1835</v>
      </c>
      <c r="L30" s="71">
        <f>Sheet1!W26</f>
        <v>8690.56</v>
      </c>
      <c r="M30" s="45">
        <f>Sheet1!T26</f>
        <v>51.855200775000007</v>
      </c>
      <c r="N30" s="43">
        <f>Sheet1!F26</f>
        <v>46122</v>
      </c>
      <c r="O30" s="44"/>
      <c r="P30" s="44"/>
      <c r="Q30" s="44"/>
      <c r="R30" s="44"/>
      <c r="S30" s="44"/>
      <c r="T30" s="44"/>
      <c r="U30" s="44"/>
      <c r="V30" s="44"/>
      <c r="W30" s="43"/>
      <c r="X30" s="43"/>
      <c r="Y30" s="43"/>
      <c r="Z30" s="44"/>
    </row>
    <row r="31" spans="1:26" ht="14.4">
      <c r="A31" s="38"/>
      <c r="B31" s="38"/>
      <c r="C31" s="39"/>
      <c r="D31" s="39"/>
      <c r="E31" s="39" t="s">
        <v>76</v>
      </c>
      <c r="F31" s="40" t="s">
        <v>77</v>
      </c>
      <c r="G31" s="46" t="s">
        <v>41</v>
      </c>
      <c r="H31" s="39"/>
      <c r="I31" s="41" t="str">
        <f>Sheet1!B27</f>
        <v>0973334243</v>
      </c>
      <c r="J31" s="41" t="str">
        <f>Sheet1!C27</f>
        <v>665466364</v>
      </c>
      <c r="K31" s="42">
        <f>Sheet1!M27</f>
        <v>1265</v>
      </c>
      <c r="L31" s="71">
        <f>Sheet1!W27</f>
        <v>2818.42</v>
      </c>
      <c r="M31" s="45">
        <f>Sheet1!T27</f>
        <v>13.1404152</v>
      </c>
      <c r="N31" s="43">
        <f>Sheet1!F27</f>
        <v>46122</v>
      </c>
      <c r="O31" s="44"/>
      <c r="P31" s="44"/>
      <c r="Q31" s="44"/>
      <c r="R31" s="44"/>
      <c r="S31" s="44"/>
      <c r="T31" s="44"/>
      <c r="U31" s="44"/>
      <c r="V31" s="44"/>
      <c r="W31" s="43"/>
      <c r="X31" s="43"/>
      <c r="Y31" s="43"/>
      <c r="Z31" s="44"/>
    </row>
    <row r="32" spans="1:26" ht="14.4">
      <c r="A32" s="38"/>
      <c r="B32" s="38"/>
      <c r="C32" s="39"/>
      <c r="D32" s="39"/>
      <c r="E32" s="39" t="s">
        <v>76</v>
      </c>
      <c r="F32" s="40" t="s">
        <v>77</v>
      </c>
      <c r="G32" s="46" t="s">
        <v>41</v>
      </c>
      <c r="H32" s="39"/>
      <c r="I32" s="41"/>
      <c r="J32" s="41"/>
      <c r="K32" s="42">
        <f>Sheet1!M28</f>
        <v>3100</v>
      </c>
      <c r="L32" s="71">
        <f>Sheet1!W28</f>
        <v>11508.98</v>
      </c>
      <c r="M32" s="45">
        <f>Sheet1!T28</f>
        <v>64.995615975000007</v>
      </c>
      <c r="N32" s="43"/>
      <c r="O32" s="44"/>
      <c r="P32" s="44"/>
      <c r="Q32" s="44"/>
      <c r="R32" s="44"/>
      <c r="S32" s="44"/>
      <c r="T32" s="44"/>
      <c r="U32" s="44"/>
      <c r="V32" s="44"/>
      <c r="W32" s="43"/>
      <c r="X32" s="43"/>
      <c r="Y32" s="43"/>
      <c r="Z32" s="44"/>
    </row>
    <row r="33" spans="1:26" ht="14.4">
      <c r="A33" s="38"/>
      <c r="B33" s="38"/>
      <c r="C33" s="39"/>
      <c r="D33" s="39"/>
      <c r="E33" s="39" t="s">
        <v>76</v>
      </c>
      <c r="F33" s="40" t="s">
        <v>77</v>
      </c>
      <c r="G33" s="46" t="s">
        <v>41</v>
      </c>
      <c r="H33" s="39"/>
      <c r="I33" s="41"/>
      <c r="J33" s="41"/>
      <c r="K33" s="42"/>
      <c r="L33" s="71"/>
      <c r="M33" s="45"/>
      <c r="N33" s="43"/>
      <c r="O33" s="44"/>
      <c r="P33" s="44"/>
      <c r="Q33" s="44"/>
      <c r="R33" s="44"/>
      <c r="S33" s="44"/>
      <c r="T33" s="44"/>
      <c r="U33" s="44"/>
      <c r="V33" s="44"/>
      <c r="W33" s="43"/>
      <c r="X33" s="43"/>
      <c r="Y33" s="43"/>
      <c r="Z33" s="44"/>
    </row>
    <row r="34" spans="1:26" ht="14.4">
      <c r="A34" s="38"/>
      <c r="B34" s="38"/>
      <c r="C34" s="39"/>
      <c r="D34" s="39"/>
      <c r="E34" s="39" t="s">
        <v>76</v>
      </c>
      <c r="F34" s="40" t="s">
        <v>77</v>
      </c>
      <c r="G34" s="46" t="s">
        <v>41</v>
      </c>
      <c r="H34" s="39"/>
      <c r="I34" s="41" t="str">
        <f>Sheet1!B30</f>
        <v>0973334243</v>
      </c>
      <c r="J34" s="41" t="str">
        <f>Sheet1!C30</f>
        <v>665466364</v>
      </c>
      <c r="K34" s="42">
        <f>Sheet1!M30</f>
        <v>1425</v>
      </c>
      <c r="L34" s="71">
        <f>Sheet1!W30</f>
        <v>3174.9</v>
      </c>
      <c r="M34" s="45">
        <f>Sheet1!T30</f>
        <v>14.802443999999999</v>
      </c>
      <c r="N34" s="43">
        <f>Sheet1!F30</f>
        <v>46122</v>
      </c>
      <c r="O34" s="44"/>
      <c r="P34" s="44"/>
      <c r="Q34" s="44"/>
      <c r="R34" s="44"/>
      <c r="S34" s="44"/>
      <c r="T34" s="44"/>
      <c r="U34" s="44"/>
      <c r="V34" s="44"/>
      <c r="W34" s="43"/>
      <c r="X34" s="43"/>
      <c r="Y34" s="43"/>
      <c r="Z34" s="44"/>
    </row>
    <row r="35" spans="1:26" ht="14.4">
      <c r="A35" s="38"/>
      <c r="B35" s="38"/>
      <c r="C35" s="39"/>
      <c r="D35" s="39"/>
      <c r="E35" s="39" t="s">
        <v>76</v>
      </c>
      <c r="F35" s="40" t="s">
        <v>77</v>
      </c>
      <c r="G35" s="46" t="s">
        <v>41</v>
      </c>
      <c r="H35" s="39"/>
      <c r="I35" s="41" t="str">
        <f>Sheet1!B31</f>
        <v>0973334243</v>
      </c>
      <c r="J35" s="41" t="str">
        <f>Sheet1!C31</f>
        <v>665416705</v>
      </c>
      <c r="K35" s="42">
        <f>Sheet1!M31</f>
        <v>925</v>
      </c>
      <c r="L35" s="71">
        <f>Sheet1!W31</f>
        <v>2060.9</v>
      </c>
      <c r="M35" s="45">
        <f>Sheet1!T31</f>
        <v>9.6086039999999997</v>
      </c>
      <c r="N35" s="43">
        <f>Sheet1!F31</f>
        <v>46122</v>
      </c>
      <c r="O35" s="44"/>
      <c r="P35" s="44"/>
      <c r="Q35" s="44"/>
      <c r="R35" s="44"/>
      <c r="S35" s="44"/>
      <c r="T35" s="44"/>
      <c r="U35" s="44"/>
      <c r="V35" s="44"/>
      <c r="W35" s="43"/>
      <c r="X35" s="43"/>
      <c r="Y35" s="43"/>
      <c r="Z35" s="44"/>
    </row>
    <row r="36" spans="1:26" ht="14.4">
      <c r="A36" s="38"/>
      <c r="B36" s="38"/>
      <c r="C36" s="39"/>
      <c r="D36" s="39"/>
      <c r="E36" s="39" t="s">
        <v>76</v>
      </c>
      <c r="F36" s="40" t="s">
        <v>77</v>
      </c>
      <c r="G36" s="46" t="s">
        <v>41</v>
      </c>
      <c r="H36" s="39"/>
      <c r="I36" s="41" t="str">
        <f>Sheet1!B32</f>
        <v>0973334243</v>
      </c>
      <c r="J36" s="41" t="str">
        <f>Sheet1!C32</f>
        <v>665410905</v>
      </c>
      <c r="K36" s="42">
        <f>Sheet1!M32</f>
        <v>1617</v>
      </c>
      <c r="L36" s="71">
        <f>Sheet1!W32</f>
        <v>3602.6760000000004</v>
      </c>
      <c r="M36" s="45">
        <f>Sheet1!T32</f>
        <v>16.79687856</v>
      </c>
      <c r="N36" s="43">
        <f>Sheet1!F32</f>
        <v>46122</v>
      </c>
      <c r="O36" s="44"/>
      <c r="P36" s="44"/>
      <c r="Q36" s="44"/>
      <c r="R36" s="44"/>
      <c r="S36" s="44"/>
      <c r="T36" s="44"/>
      <c r="U36" s="44"/>
      <c r="V36" s="44"/>
      <c r="W36" s="43"/>
      <c r="X36" s="43"/>
      <c r="Y36" s="43"/>
      <c r="Z36" s="44"/>
    </row>
    <row r="37" spans="1:26" ht="14.4">
      <c r="A37" s="38"/>
      <c r="B37" s="38"/>
      <c r="C37" s="39"/>
      <c r="D37" s="39"/>
      <c r="E37" s="39" t="s">
        <v>76</v>
      </c>
      <c r="F37" s="40" t="s">
        <v>77</v>
      </c>
      <c r="G37" s="46" t="s">
        <v>41</v>
      </c>
      <c r="H37" s="39"/>
      <c r="I37" s="41" t="str">
        <f>Sheet1!B33</f>
        <v>0973334243</v>
      </c>
      <c r="J37" s="41" t="str">
        <f>Sheet1!C33</f>
        <v>673195229</v>
      </c>
      <c r="K37" s="42">
        <f>Sheet1!M33</f>
        <v>2155</v>
      </c>
      <c r="L37" s="71">
        <f>Sheet1!W33</f>
        <v>4801.34</v>
      </c>
      <c r="M37" s="45">
        <f>Sheet1!T33</f>
        <v>22.3854504</v>
      </c>
      <c r="N37" s="43">
        <f>Sheet1!F33</f>
        <v>46122</v>
      </c>
      <c r="O37" s="44"/>
      <c r="P37" s="44"/>
      <c r="Q37" s="44"/>
      <c r="R37" s="44"/>
      <c r="S37" s="44"/>
      <c r="T37" s="44"/>
      <c r="U37" s="44"/>
      <c r="V37" s="44"/>
      <c r="W37" s="43"/>
      <c r="X37" s="43"/>
      <c r="Y37" s="43"/>
      <c r="Z37" s="44"/>
    </row>
    <row r="38" spans="1:26" ht="14.4">
      <c r="A38" s="38"/>
      <c r="B38" s="38"/>
      <c r="C38" s="39"/>
      <c r="D38" s="39"/>
      <c r="E38" s="39" t="s">
        <v>76</v>
      </c>
      <c r="F38" s="40" t="s">
        <v>77</v>
      </c>
      <c r="G38" s="46" t="s">
        <v>41</v>
      </c>
      <c r="H38" s="39"/>
      <c r="I38" s="41" t="str">
        <f>Sheet1!B34</f>
        <v>0973334243</v>
      </c>
      <c r="J38" s="41" t="str">
        <f>Sheet1!C34</f>
        <v>665466368</v>
      </c>
      <c r="K38" s="42">
        <f>Sheet1!M34</f>
        <v>135</v>
      </c>
      <c r="L38" s="71">
        <f>Sheet1!W34</f>
        <v>300.78000000000003</v>
      </c>
      <c r="M38" s="45">
        <f>Sheet1!T34</f>
        <v>1.4023368</v>
      </c>
      <c r="N38" s="43">
        <f>Sheet1!F34</f>
        <v>46122</v>
      </c>
      <c r="O38" s="44"/>
      <c r="P38" s="44"/>
      <c r="Q38" s="44"/>
      <c r="R38" s="44"/>
      <c r="S38" s="44"/>
      <c r="T38" s="44"/>
      <c r="U38" s="44"/>
      <c r="V38" s="44"/>
      <c r="W38" s="43"/>
      <c r="X38" s="43"/>
      <c r="Y38" s="43"/>
      <c r="Z38" s="44"/>
    </row>
    <row r="39" spans="1:26" ht="14.4">
      <c r="A39" s="38"/>
      <c r="B39" s="38"/>
      <c r="C39" s="39"/>
      <c r="D39" s="39"/>
      <c r="E39" s="39" t="s">
        <v>76</v>
      </c>
      <c r="F39" s="40" t="s">
        <v>77</v>
      </c>
      <c r="G39" s="46" t="s">
        <v>41</v>
      </c>
      <c r="H39" s="39"/>
      <c r="I39" s="41"/>
      <c r="J39" s="41"/>
      <c r="K39" s="42">
        <f>Sheet1!M35</f>
        <v>6257</v>
      </c>
      <c r="L39" s="71">
        <f>Sheet1!W35</f>
        <v>13940.596000000001</v>
      </c>
      <c r="M39" s="45">
        <f>Sheet1!T35</f>
        <v>64.995713760000001</v>
      </c>
      <c r="N39" s="43"/>
      <c r="O39" s="44"/>
      <c r="P39" s="44"/>
      <c r="Q39" s="44"/>
      <c r="R39" s="44"/>
      <c r="S39" s="44"/>
      <c r="T39" s="44"/>
      <c r="U39" s="44"/>
      <c r="V39" s="44"/>
      <c r="W39" s="43"/>
      <c r="X39" s="43"/>
      <c r="Y39" s="43"/>
      <c r="Z39" s="44"/>
    </row>
    <row r="40" spans="1:26" ht="14.4">
      <c r="A40" s="38"/>
      <c r="B40" s="38"/>
      <c r="C40" s="39"/>
      <c r="D40" s="39"/>
      <c r="E40" s="39" t="s">
        <v>76</v>
      </c>
      <c r="F40" s="40" t="s">
        <v>77</v>
      </c>
      <c r="G40" s="46" t="s">
        <v>41</v>
      </c>
      <c r="H40" s="39"/>
      <c r="I40" s="41"/>
      <c r="J40" s="41"/>
      <c r="K40" s="42"/>
      <c r="L40" s="71"/>
      <c r="M40" s="45"/>
      <c r="N40" s="43"/>
      <c r="O40" s="44"/>
      <c r="P40" s="44"/>
      <c r="Q40" s="44"/>
      <c r="R40" s="44"/>
      <c r="S40" s="44"/>
      <c r="T40" s="44"/>
      <c r="U40" s="44"/>
      <c r="V40" s="44"/>
      <c r="W40" s="43"/>
      <c r="X40" s="43"/>
      <c r="Y40" s="43"/>
      <c r="Z40" s="44"/>
    </row>
    <row r="41" spans="1:26" ht="14.4">
      <c r="A41" s="38"/>
      <c r="B41" s="38"/>
      <c r="C41" s="39"/>
      <c r="D41" s="39"/>
      <c r="E41" s="39" t="s">
        <v>76</v>
      </c>
      <c r="F41" s="40" t="s">
        <v>77</v>
      </c>
      <c r="G41" s="46" t="s">
        <v>41</v>
      </c>
      <c r="H41" s="39"/>
      <c r="I41" s="41" t="str">
        <f>Sheet1!B37</f>
        <v>0973334243</v>
      </c>
      <c r="J41" s="41" t="str">
        <f>Sheet1!C37</f>
        <v>665466368</v>
      </c>
      <c r="K41" s="42">
        <f>Sheet1!M37</f>
        <v>2054</v>
      </c>
      <c r="L41" s="71">
        <f>Sheet1!W37</f>
        <v>4576.3120000000008</v>
      </c>
      <c r="M41" s="45">
        <f>Sheet1!T37</f>
        <v>21.336294719999998</v>
      </c>
      <c r="N41" s="43">
        <f>Sheet1!F37</f>
        <v>46122</v>
      </c>
      <c r="O41" s="44"/>
      <c r="P41" s="44"/>
      <c r="Q41" s="44"/>
      <c r="R41" s="44"/>
      <c r="S41" s="44"/>
      <c r="T41" s="44"/>
      <c r="U41" s="44"/>
      <c r="V41" s="44"/>
      <c r="W41" s="43"/>
      <c r="X41" s="43"/>
      <c r="Y41" s="43"/>
      <c r="Z41" s="44"/>
    </row>
    <row r="42" spans="1:26" ht="14.4">
      <c r="A42" s="38"/>
      <c r="B42" s="38"/>
      <c r="C42" s="39"/>
      <c r="D42" s="39"/>
      <c r="E42" s="39" t="s">
        <v>76</v>
      </c>
      <c r="F42" s="40" t="s">
        <v>77</v>
      </c>
      <c r="G42" s="46" t="s">
        <v>41</v>
      </c>
      <c r="H42" s="39"/>
      <c r="I42" s="41" t="str">
        <f>Sheet1!B38</f>
        <v>0973334243</v>
      </c>
      <c r="J42" s="41" t="str">
        <f>Sheet1!C38</f>
        <v>665416704</v>
      </c>
      <c r="K42" s="42">
        <f>Sheet1!M38</f>
        <v>844</v>
      </c>
      <c r="L42" s="71">
        <f>Sheet1!W38</f>
        <v>2624.8399999999997</v>
      </c>
      <c r="M42" s="45">
        <f>Sheet1!T38</f>
        <v>8.1447485440000005</v>
      </c>
      <c r="N42" s="43">
        <f>Sheet1!F38</f>
        <v>46122</v>
      </c>
      <c r="O42" s="44"/>
      <c r="P42" s="44"/>
      <c r="Q42" s="44"/>
      <c r="R42" s="44"/>
      <c r="S42" s="44"/>
      <c r="T42" s="44"/>
      <c r="U42" s="44"/>
      <c r="V42" s="44"/>
      <c r="W42" s="43"/>
      <c r="X42" s="43"/>
      <c r="Y42" s="43"/>
      <c r="Z42" s="44"/>
    </row>
    <row r="43" spans="1:26" ht="14.4">
      <c r="A43" s="38"/>
      <c r="B43" s="38"/>
      <c r="C43" s="39"/>
      <c r="D43" s="39"/>
      <c r="E43" s="39" t="s">
        <v>76</v>
      </c>
      <c r="F43" s="40" t="s">
        <v>77</v>
      </c>
      <c r="G43" s="46" t="s">
        <v>41</v>
      </c>
      <c r="H43" s="39"/>
      <c r="I43" s="41" t="str">
        <f>Sheet1!B39</f>
        <v>0973334243</v>
      </c>
      <c r="J43" s="41" t="str">
        <f>Sheet1!C39</f>
        <v>665466369</v>
      </c>
      <c r="K43" s="42">
        <f>Sheet1!M39</f>
        <v>895</v>
      </c>
      <c r="L43" s="71">
        <f>Sheet1!W39</f>
        <v>2783.45</v>
      </c>
      <c r="M43" s="45">
        <f>Sheet1!T39</f>
        <v>8.6369075199999994</v>
      </c>
      <c r="N43" s="43">
        <f>Sheet1!F39</f>
        <v>46122</v>
      </c>
      <c r="O43" s="44"/>
      <c r="P43" s="44"/>
      <c r="Q43" s="44"/>
      <c r="R43" s="44"/>
      <c r="S43" s="44"/>
      <c r="T43" s="44"/>
      <c r="U43" s="44"/>
      <c r="V43" s="44"/>
      <c r="W43" s="43"/>
      <c r="X43" s="43"/>
      <c r="Y43" s="43"/>
      <c r="Z43" s="44"/>
    </row>
    <row r="44" spans="1:26" ht="14.4">
      <c r="A44" s="38"/>
      <c r="B44" s="38"/>
      <c r="C44" s="39"/>
      <c r="D44" s="39"/>
      <c r="E44" s="39" t="s">
        <v>76</v>
      </c>
      <c r="F44" s="40" t="s">
        <v>77</v>
      </c>
      <c r="G44" s="46" t="s">
        <v>41</v>
      </c>
      <c r="H44" s="39"/>
      <c r="I44" s="41" t="str">
        <f>Sheet1!B40</f>
        <v>0973334243</v>
      </c>
      <c r="J44" s="41" t="str">
        <f>Sheet1!C40</f>
        <v>665466365</v>
      </c>
      <c r="K44" s="42">
        <f>Sheet1!M40</f>
        <v>2003</v>
      </c>
      <c r="L44" s="71">
        <f>Sheet1!W40</f>
        <v>6229.33</v>
      </c>
      <c r="M44" s="45">
        <f>Sheet1!T40</f>
        <v>19.329302527999999</v>
      </c>
      <c r="N44" s="43">
        <f>Sheet1!F40</f>
        <v>46122</v>
      </c>
      <c r="O44" s="44"/>
      <c r="P44" s="44"/>
      <c r="Q44" s="44"/>
      <c r="R44" s="44"/>
      <c r="S44" s="44"/>
      <c r="T44" s="44"/>
      <c r="U44" s="44"/>
      <c r="V44" s="44"/>
      <c r="W44" s="43"/>
      <c r="X44" s="43"/>
      <c r="Y44" s="43"/>
      <c r="Z44" s="44"/>
    </row>
    <row r="45" spans="1:26" ht="14.4">
      <c r="A45" s="38"/>
      <c r="B45" s="38"/>
      <c r="C45" s="39"/>
      <c r="D45" s="39"/>
      <c r="E45" s="39" t="s">
        <v>76</v>
      </c>
      <c r="F45" s="40" t="s">
        <v>77</v>
      </c>
      <c r="G45" s="46" t="s">
        <v>41</v>
      </c>
      <c r="H45" s="39"/>
      <c r="I45" s="41" t="str">
        <f>Sheet1!B41</f>
        <v>0973334243</v>
      </c>
      <c r="J45" s="41" t="str">
        <f>Sheet1!C41</f>
        <v>665466366</v>
      </c>
      <c r="K45" s="42">
        <f>Sheet1!M41</f>
        <v>783</v>
      </c>
      <c r="L45" s="71">
        <f>Sheet1!W41</f>
        <v>2435.13</v>
      </c>
      <c r="M45" s="45">
        <f>Sheet1!T41</f>
        <v>7.5560878080000009</v>
      </c>
      <c r="N45" s="43">
        <f>Sheet1!F41</f>
        <v>46122</v>
      </c>
      <c r="O45" s="44"/>
      <c r="P45" s="44"/>
      <c r="Q45" s="44"/>
      <c r="R45" s="44"/>
      <c r="S45" s="44"/>
      <c r="T45" s="44"/>
      <c r="U45" s="44"/>
      <c r="V45" s="44"/>
      <c r="W45" s="43"/>
      <c r="X45" s="43"/>
      <c r="Y45" s="43"/>
      <c r="Z45" s="44"/>
    </row>
    <row r="46" spans="1:26" ht="14.4">
      <c r="A46" s="38"/>
      <c r="B46" s="38"/>
      <c r="C46" s="39"/>
      <c r="D46" s="39"/>
      <c r="E46" s="39" t="s">
        <v>76</v>
      </c>
      <c r="F46" s="40" t="s">
        <v>77</v>
      </c>
      <c r="G46" s="46" t="s">
        <v>41</v>
      </c>
      <c r="H46" s="39"/>
      <c r="I46" s="41"/>
      <c r="J46" s="41"/>
      <c r="K46" s="42">
        <f>Sheet1!M42</f>
        <v>6579</v>
      </c>
      <c r="L46" s="71">
        <f>Sheet1!W42</f>
        <v>18649.061999999998</v>
      </c>
      <c r="M46" s="45">
        <f>Sheet1!T42</f>
        <v>65.003341120000002</v>
      </c>
      <c r="N46" s="43"/>
      <c r="O46" s="44"/>
      <c r="P46" s="44"/>
      <c r="Q46" s="44"/>
      <c r="R46" s="44"/>
      <c r="S46" s="44"/>
      <c r="T46" s="44"/>
      <c r="U46" s="44"/>
      <c r="V46" s="44"/>
      <c r="W46" s="43"/>
      <c r="X46" s="43"/>
      <c r="Y46" s="43"/>
      <c r="Z46" s="44"/>
    </row>
    <row r="47" spans="1:26" ht="14.4">
      <c r="A47" s="38"/>
      <c r="B47" s="38"/>
      <c r="C47" s="39"/>
      <c r="D47" s="39"/>
      <c r="E47" s="39" t="s">
        <v>76</v>
      </c>
      <c r="F47" s="40" t="s">
        <v>77</v>
      </c>
      <c r="G47" s="46" t="s">
        <v>41</v>
      </c>
      <c r="H47" s="39"/>
      <c r="I47" s="41"/>
      <c r="J47" s="41"/>
      <c r="K47" s="42"/>
      <c r="L47" s="71"/>
      <c r="M47" s="45"/>
      <c r="N47" s="43"/>
      <c r="O47" s="44"/>
      <c r="P47" s="44"/>
      <c r="Q47" s="44"/>
      <c r="R47" s="44"/>
      <c r="S47" s="44"/>
      <c r="T47" s="44"/>
      <c r="U47" s="44"/>
      <c r="V47" s="44"/>
      <c r="W47" s="43"/>
      <c r="X47" s="43"/>
      <c r="Y47" s="43"/>
      <c r="Z47" s="44"/>
    </row>
    <row r="48" spans="1:26" ht="14.4">
      <c r="A48" s="38"/>
      <c r="B48" s="38"/>
      <c r="C48" s="39"/>
      <c r="D48" s="39"/>
      <c r="E48" s="39" t="s">
        <v>76</v>
      </c>
      <c r="F48" s="40" t="s">
        <v>77</v>
      </c>
      <c r="G48" s="46" t="s">
        <v>41</v>
      </c>
      <c r="H48" s="39"/>
      <c r="I48" s="41" t="str">
        <f>Sheet1!B44</f>
        <v>0973334243</v>
      </c>
      <c r="J48" s="41" t="str">
        <f>Sheet1!C44</f>
        <v>665466366</v>
      </c>
      <c r="K48" s="42">
        <f>Sheet1!M44</f>
        <v>625</v>
      </c>
      <c r="L48" s="71">
        <f>Sheet1!W44</f>
        <v>1943.75</v>
      </c>
      <c r="M48" s="45">
        <f>Sheet1!T44</f>
        <v>6.0313600000000003</v>
      </c>
      <c r="N48" s="43">
        <f>Sheet1!F44</f>
        <v>46122</v>
      </c>
      <c r="O48" s="44"/>
      <c r="P48" s="44"/>
      <c r="Q48" s="44"/>
      <c r="R48" s="44"/>
      <c r="S48" s="44"/>
      <c r="T48" s="44"/>
      <c r="U48" s="44"/>
      <c r="V48" s="44"/>
      <c r="W48" s="43"/>
      <c r="X48" s="43"/>
      <c r="Y48" s="43"/>
      <c r="Z48" s="44"/>
    </row>
    <row r="49" spans="1:26" ht="14.4">
      <c r="A49" s="38"/>
      <c r="B49" s="38"/>
      <c r="C49" s="39"/>
      <c r="D49" s="39"/>
      <c r="E49" s="39" t="s">
        <v>76</v>
      </c>
      <c r="F49" s="40" t="s">
        <v>77</v>
      </c>
      <c r="G49" s="46" t="s">
        <v>41</v>
      </c>
      <c r="H49" s="39"/>
      <c r="I49" s="41" t="str">
        <f>Sheet1!B45</f>
        <v>0973334243</v>
      </c>
      <c r="J49" s="41" t="str">
        <f>Sheet1!C45</f>
        <v>665466371</v>
      </c>
      <c r="K49" s="42">
        <f>Sheet1!M45</f>
        <v>1734</v>
      </c>
      <c r="L49" s="71">
        <f>Sheet1!W45</f>
        <v>8212.2240000000002</v>
      </c>
      <c r="M49" s="45">
        <f>Sheet1!T45</f>
        <v>49.001045310000002</v>
      </c>
      <c r="N49" s="43">
        <f>Sheet1!F45</f>
        <v>46122</v>
      </c>
      <c r="O49" s="44"/>
      <c r="P49" s="44"/>
      <c r="Q49" s="44"/>
      <c r="R49" s="44"/>
      <c r="S49" s="44"/>
      <c r="T49" s="44"/>
      <c r="U49" s="44"/>
      <c r="V49" s="44"/>
      <c r="W49" s="43"/>
      <c r="X49" s="43"/>
      <c r="Y49" s="43"/>
      <c r="Z49" s="44"/>
    </row>
    <row r="50" spans="1:26" ht="14.4">
      <c r="A50" s="38"/>
      <c r="B50" s="38"/>
      <c r="C50" s="39"/>
      <c r="D50" s="39"/>
      <c r="E50" s="39" t="s">
        <v>76</v>
      </c>
      <c r="F50" s="40" t="s">
        <v>77</v>
      </c>
      <c r="G50" s="46" t="s">
        <v>41</v>
      </c>
      <c r="H50" s="39"/>
      <c r="I50" s="41"/>
      <c r="J50" s="41"/>
      <c r="K50" s="42">
        <f>Sheet1!M46</f>
        <v>2359</v>
      </c>
      <c r="L50" s="71">
        <f>Sheet1!W46</f>
        <v>10155.974</v>
      </c>
      <c r="M50" s="45">
        <f>Sheet1!T46</f>
        <v>55.032405310000001</v>
      </c>
      <c r="N50" s="43"/>
      <c r="O50" s="44"/>
      <c r="P50" s="44"/>
      <c r="Q50" s="44"/>
      <c r="R50" s="44"/>
      <c r="S50" s="44"/>
      <c r="T50" s="44"/>
      <c r="U50" s="44"/>
      <c r="V50" s="44"/>
      <c r="W50" s="43"/>
      <c r="X50" s="43"/>
      <c r="Y50" s="43"/>
      <c r="Z50" s="44"/>
    </row>
    <row r="51" spans="1:26" ht="14.4">
      <c r="A51" s="38"/>
      <c r="B51" s="38"/>
      <c r="C51" s="39"/>
      <c r="D51" s="39"/>
      <c r="E51" s="39" t="s">
        <v>76</v>
      </c>
      <c r="F51" s="40" t="s">
        <v>77</v>
      </c>
      <c r="G51" s="46" t="s">
        <v>41</v>
      </c>
      <c r="H51" s="39"/>
      <c r="I51" s="41"/>
      <c r="J51" s="41"/>
      <c r="K51" s="42"/>
      <c r="L51" s="71"/>
      <c r="M51" s="45"/>
      <c r="N51" s="43"/>
      <c r="O51" s="44"/>
      <c r="P51" s="44"/>
      <c r="Q51" s="44"/>
      <c r="R51" s="44"/>
      <c r="S51" s="44"/>
      <c r="T51" s="44"/>
      <c r="U51" s="44"/>
      <c r="V51" s="44"/>
      <c r="W51" s="43"/>
      <c r="X51" s="43"/>
      <c r="Y51" s="43"/>
      <c r="Z51" s="44"/>
    </row>
    <row r="52" spans="1:26" ht="14.4">
      <c r="A52" s="38"/>
      <c r="B52" s="38"/>
      <c r="C52" s="39"/>
      <c r="D52" s="39"/>
      <c r="E52" s="39" t="s">
        <v>76</v>
      </c>
      <c r="F52" s="40" t="s">
        <v>77</v>
      </c>
      <c r="G52" s="46" t="s">
        <v>41</v>
      </c>
      <c r="H52" s="39"/>
      <c r="I52" s="41" t="str">
        <f>Sheet1!B48</f>
        <v>0973334243</v>
      </c>
      <c r="J52" s="41" t="str">
        <f>Sheet1!C48</f>
        <v>665466371</v>
      </c>
      <c r="K52" s="42">
        <f>Sheet1!M48</f>
        <v>1096</v>
      </c>
      <c r="L52" s="71">
        <f>Sheet1!W48</f>
        <v>5190.6559999999999</v>
      </c>
      <c r="M52" s="45">
        <f>Sheet1!T48</f>
        <v>30.971825639999995</v>
      </c>
      <c r="N52" s="43">
        <f>Sheet1!F48</f>
        <v>46122</v>
      </c>
      <c r="O52" s="44"/>
      <c r="P52" s="44"/>
      <c r="Q52" s="44"/>
      <c r="R52" s="44"/>
      <c r="S52" s="44"/>
      <c r="T52" s="44"/>
      <c r="U52" s="44"/>
      <c r="V52" s="44"/>
      <c r="W52" s="43"/>
      <c r="X52" s="43"/>
      <c r="Y52" s="43"/>
      <c r="Z52" s="44"/>
    </row>
    <row r="53" spans="1:26" ht="14.4">
      <c r="A53" s="38"/>
      <c r="B53" s="38"/>
      <c r="C53" s="39"/>
      <c r="D53" s="39"/>
      <c r="E53" s="39" t="s">
        <v>76</v>
      </c>
      <c r="F53" s="40" t="s">
        <v>77</v>
      </c>
      <c r="G53" s="46" t="s">
        <v>41</v>
      </c>
      <c r="H53" s="39"/>
      <c r="I53" s="41" t="str">
        <f>Sheet1!B49</f>
        <v>0973334243</v>
      </c>
      <c r="J53" s="41" t="str">
        <f>Sheet1!C49</f>
        <v>680418812</v>
      </c>
      <c r="K53" s="42">
        <f>Sheet1!M49</f>
        <v>357</v>
      </c>
      <c r="L53" s="71">
        <f>Sheet1!W49</f>
        <v>821.09999999999991</v>
      </c>
      <c r="M53" s="45">
        <f>Sheet1!T49</f>
        <v>2.6414715600000007</v>
      </c>
      <c r="N53" s="43">
        <f>Sheet1!F49</f>
        <v>46122</v>
      </c>
      <c r="O53" s="44"/>
      <c r="P53" s="44"/>
      <c r="Q53" s="44"/>
      <c r="R53" s="44"/>
      <c r="S53" s="44"/>
      <c r="T53" s="44"/>
      <c r="U53" s="44"/>
      <c r="V53" s="44"/>
      <c r="W53" s="43"/>
      <c r="X53" s="43"/>
      <c r="Y53" s="43"/>
      <c r="Z53" s="44"/>
    </row>
    <row r="54" spans="1:26" ht="14.4">
      <c r="A54" s="38"/>
      <c r="B54" s="38"/>
      <c r="C54" s="39"/>
      <c r="D54" s="39"/>
      <c r="E54" s="39" t="s">
        <v>76</v>
      </c>
      <c r="F54" s="40" t="s">
        <v>77</v>
      </c>
      <c r="G54" s="46" t="s">
        <v>41</v>
      </c>
      <c r="H54" s="39"/>
      <c r="I54" s="41" t="str">
        <f>Sheet1!B50</f>
        <v>0973334243</v>
      </c>
      <c r="J54" s="41" t="str">
        <f>Sheet1!C50</f>
        <v>680418810</v>
      </c>
      <c r="K54" s="42">
        <f>Sheet1!M50</f>
        <v>394</v>
      </c>
      <c r="L54" s="71">
        <f>Sheet1!W50</f>
        <v>1067.74</v>
      </c>
      <c r="M54" s="45">
        <f>Sheet1!T50</f>
        <v>4.848739329999999</v>
      </c>
      <c r="N54" s="43">
        <f>Sheet1!F50</f>
        <v>46122</v>
      </c>
      <c r="O54" s="44"/>
      <c r="P54" s="44"/>
      <c r="Q54" s="44"/>
      <c r="R54" s="44"/>
      <c r="S54" s="44"/>
      <c r="T54" s="44"/>
      <c r="U54" s="44"/>
      <c r="V54" s="44"/>
      <c r="W54" s="43"/>
      <c r="X54" s="43"/>
      <c r="Y54" s="43"/>
      <c r="Z54" s="44"/>
    </row>
    <row r="55" spans="1:26" ht="14.4">
      <c r="A55" s="38"/>
      <c r="B55" s="38"/>
      <c r="C55" s="39"/>
      <c r="D55" s="39"/>
      <c r="E55" s="39" t="s">
        <v>76</v>
      </c>
      <c r="F55" s="40" t="s">
        <v>77</v>
      </c>
      <c r="G55" s="46" t="s">
        <v>41</v>
      </c>
      <c r="H55" s="39"/>
      <c r="I55" s="41" t="str">
        <f>Sheet1!B51</f>
        <v>0973334243</v>
      </c>
      <c r="J55" s="41" t="str">
        <f>Sheet1!C51</f>
        <v>680334174</v>
      </c>
      <c r="K55" s="42">
        <f>Sheet1!M51</f>
        <v>616</v>
      </c>
      <c r="L55" s="71">
        <f>Sheet1!W51</f>
        <v>2736.2719999999999</v>
      </c>
      <c r="M55" s="45">
        <f>Sheet1!T51</f>
        <v>14.355661320000001</v>
      </c>
      <c r="N55" s="43">
        <f>Sheet1!F51</f>
        <v>46122</v>
      </c>
      <c r="O55" s="44"/>
      <c r="P55" s="44"/>
      <c r="Q55" s="44"/>
      <c r="R55" s="44"/>
      <c r="S55" s="44"/>
      <c r="T55" s="44"/>
      <c r="U55" s="44"/>
      <c r="V55" s="44"/>
      <c r="W55" s="43"/>
      <c r="X55" s="43"/>
      <c r="Y55" s="43"/>
      <c r="Z55" s="44"/>
    </row>
    <row r="56" spans="1:26" ht="14.4">
      <c r="A56" s="38"/>
      <c r="B56" s="38"/>
      <c r="C56" s="39"/>
      <c r="D56" s="39"/>
      <c r="E56" s="39" t="s">
        <v>76</v>
      </c>
      <c r="F56" s="40" t="s">
        <v>77</v>
      </c>
      <c r="G56" s="46" t="s">
        <v>41</v>
      </c>
      <c r="H56" s="39"/>
      <c r="I56" s="41" t="str">
        <f>Sheet1!B52</f>
        <v>0973334243</v>
      </c>
      <c r="J56" s="41" t="str">
        <f>Sheet1!C52</f>
        <v>680420888</v>
      </c>
      <c r="K56" s="42">
        <f>Sheet1!M52</f>
        <v>493</v>
      </c>
      <c r="L56" s="71">
        <f>Sheet1!W52</f>
        <v>700.06</v>
      </c>
      <c r="M56" s="45">
        <f>Sheet1!T52</f>
        <v>2.1984536339999998</v>
      </c>
      <c r="N56" s="43">
        <f>Sheet1!F52</f>
        <v>46122</v>
      </c>
      <c r="O56" s="44"/>
      <c r="P56" s="44"/>
      <c r="Q56" s="44"/>
      <c r="R56" s="44"/>
      <c r="S56" s="44"/>
      <c r="T56" s="44"/>
      <c r="U56" s="44"/>
      <c r="V56" s="44"/>
      <c r="W56" s="43"/>
      <c r="X56" s="43"/>
      <c r="Y56" s="43"/>
      <c r="Z56" s="44"/>
    </row>
    <row r="57" spans="1:26" ht="14.4">
      <c r="A57" s="38"/>
      <c r="B57" s="38"/>
      <c r="C57" s="39"/>
      <c r="D57" s="39"/>
      <c r="E57" s="39" t="s">
        <v>76</v>
      </c>
      <c r="F57" s="40" t="s">
        <v>77</v>
      </c>
      <c r="G57" s="46" t="s">
        <v>41</v>
      </c>
      <c r="H57" s="39"/>
      <c r="I57" s="41"/>
      <c r="J57" s="41"/>
      <c r="K57" s="42">
        <f>Sheet1!M53</f>
        <v>2956</v>
      </c>
      <c r="L57" s="71">
        <f>Sheet1!W53</f>
        <v>10515.828</v>
      </c>
      <c r="M57" s="45">
        <f>Sheet1!T53</f>
        <v>55.016151484000005</v>
      </c>
      <c r="N57" s="43"/>
      <c r="O57" s="44"/>
      <c r="P57" s="44"/>
      <c r="Q57" s="44"/>
      <c r="R57" s="44"/>
      <c r="S57" s="44"/>
      <c r="T57" s="44"/>
      <c r="U57" s="44"/>
      <c r="V57" s="44"/>
      <c r="W57" s="43"/>
      <c r="X57" s="43"/>
      <c r="Y57" s="43"/>
      <c r="Z57" s="44"/>
    </row>
  </sheetData>
  <sheetProtection selectLockedCells="1" selectUnlockedCells="1"/>
  <mergeCells count="1">
    <mergeCell ref="A1:S1"/>
  </mergeCells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&amp;P&amp;L&amp;1#&amp;"Calibri"&amp;10&amp;K000000Classification: Public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topLeftCell="G1" workbookViewId="0">
      <selection activeCell="Q28" sqref="Q28"/>
    </sheetView>
  </sheetViews>
  <sheetFormatPr defaultRowHeight="14.4"/>
  <cols>
    <col min="1" max="1" width="30.5546875" bestFit="1" customWidth="1"/>
    <col min="2" max="3" width="11.44140625" customWidth="1"/>
    <col min="4" max="7" width="11" customWidth="1"/>
    <col min="8" max="9" width="16" customWidth="1"/>
    <col min="10" max="12" width="11" customWidth="1"/>
    <col min="13" max="13" width="14.109375" style="3" customWidth="1"/>
    <col min="14" max="14" width="16.5546875" style="3" customWidth="1"/>
    <col min="15" max="15" width="21.33203125" style="3" customWidth="1"/>
    <col min="16" max="16" width="18.44140625" customWidth="1"/>
    <col min="17" max="17" width="13.109375" customWidth="1"/>
  </cols>
  <sheetData>
    <row r="1" spans="1:20">
      <c r="A1" t="s">
        <v>24</v>
      </c>
    </row>
    <row r="4" spans="1:20">
      <c r="A4" s="93" t="s">
        <v>25</v>
      </c>
      <c r="B4" s="93" t="s">
        <v>26</v>
      </c>
      <c r="C4" s="92" t="s">
        <v>27</v>
      </c>
      <c r="D4" s="92" t="s">
        <v>28</v>
      </c>
      <c r="E4" s="92"/>
      <c r="F4" s="92"/>
      <c r="G4" s="91" t="s">
        <v>29</v>
      </c>
      <c r="H4" s="91" t="s">
        <v>30</v>
      </c>
      <c r="I4" s="91" t="s">
        <v>31</v>
      </c>
      <c r="J4" s="92" t="s">
        <v>32</v>
      </c>
      <c r="K4" s="92"/>
      <c r="L4" s="92"/>
      <c r="M4" s="91" t="s">
        <v>33</v>
      </c>
      <c r="N4" s="91" t="s">
        <v>34</v>
      </c>
      <c r="O4" s="91" t="s">
        <v>35</v>
      </c>
      <c r="P4" s="91" t="s">
        <v>36</v>
      </c>
      <c r="Q4" s="91" t="s">
        <v>37</v>
      </c>
    </row>
    <row r="5" spans="1:20">
      <c r="A5" s="94"/>
      <c r="B5" s="94"/>
      <c r="C5" s="92"/>
      <c r="D5" s="7" t="s">
        <v>38</v>
      </c>
      <c r="E5" s="7" t="s">
        <v>39</v>
      </c>
      <c r="F5" s="7" t="s">
        <v>40</v>
      </c>
      <c r="G5" s="91"/>
      <c r="H5" s="91"/>
      <c r="I5" s="91"/>
      <c r="J5" s="7" t="s">
        <v>38</v>
      </c>
      <c r="K5" s="7" t="s">
        <v>39</v>
      </c>
      <c r="L5" s="7" t="s">
        <v>40</v>
      </c>
      <c r="M5" s="91"/>
      <c r="N5" s="91"/>
      <c r="O5" s="91"/>
      <c r="P5" s="91"/>
      <c r="Q5" s="91"/>
    </row>
    <row r="6" spans="1:20">
      <c r="A6" s="8" t="s">
        <v>41</v>
      </c>
      <c r="B6" s="9">
        <v>2027881837</v>
      </c>
      <c r="C6" s="8">
        <v>574663392</v>
      </c>
      <c r="D6" s="10">
        <v>34.4</v>
      </c>
      <c r="E6" s="10">
        <v>26.6</v>
      </c>
      <c r="F6" s="10">
        <v>25.9</v>
      </c>
      <c r="G6" s="11">
        <f>D6*E6*F6/1000000</f>
        <v>2.3699535999999997E-2</v>
      </c>
      <c r="H6" s="8">
        <v>2640</v>
      </c>
      <c r="I6" s="11">
        <f>G6*H6</f>
        <v>62.566775039999989</v>
      </c>
      <c r="J6" s="10">
        <f>R6/10</f>
        <v>107.95000000000002</v>
      </c>
      <c r="K6" s="10">
        <f t="shared" ref="K6:L6" si="0">S6/10</f>
        <v>96.52</v>
      </c>
      <c r="L6" s="10">
        <f t="shared" si="0"/>
        <v>128.27000000000004</v>
      </c>
      <c r="M6" s="11">
        <f>J6*K6*L6/1000000</f>
        <v>1.3364879721800005</v>
      </c>
      <c r="N6" s="12">
        <v>48</v>
      </c>
      <c r="O6" s="11">
        <f>M6*N6</f>
        <v>64.151422664640023</v>
      </c>
      <c r="P6" s="6" t="s">
        <v>23</v>
      </c>
      <c r="Q6" s="16">
        <v>44791</v>
      </c>
      <c r="R6">
        <v>1079.5000000000002</v>
      </c>
      <c r="S6">
        <v>965.19999999999993</v>
      </c>
      <c r="T6">
        <v>1282.7000000000003</v>
      </c>
    </row>
    <row r="7" spans="1:20">
      <c r="A7" s="8"/>
      <c r="B7" s="9"/>
      <c r="C7" s="8"/>
      <c r="D7" s="10"/>
      <c r="E7" s="10"/>
      <c r="F7" s="10"/>
      <c r="G7" s="11"/>
      <c r="H7" s="8"/>
      <c r="I7" s="11"/>
      <c r="J7" s="10"/>
      <c r="K7" s="10"/>
      <c r="L7" s="10"/>
      <c r="M7" s="11"/>
      <c r="N7" s="12"/>
      <c r="O7" s="11"/>
      <c r="P7" s="11"/>
      <c r="Q7" s="11"/>
    </row>
    <row r="8" spans="1:20">
      <c r="A8" s="8"/>
      <c r="B8" s="9"/>
      <c r="C8" s="8"/>
      <c r="D8" s="10"/>
      <c r="E8" s="10"/>
      <c r="F8" s="10"/>
      <c r="G8" s="11"/>
      <c r="H8" s="8"/>
      <c r="I8" s="11"/>
      <c r="J8" s="10"/>
      <c r="K8" s="10"/>
      <c r="L8" s="10"/>
      <c r="M8" s="11"/>
      <c r="N8" s="12"/>
      <c r="O8" s="11"/>
      <c r="P8" s="11"/>
      <c r="Q8" s="11"/>
    </row>
    <row r="9" spans="1:20">
      <c r="A9" s="8"/>
      <c r="B9" s="9"/>
      <c r="C9" s="8"/>
      <c r="D9" s="10"/>
      <c r="E9" s="10"/>
      <c r="F9" s="10"/>
      <c r="G9" s="11"/>
      <c r="H9" s="8"/>
      <c r="I9" s="11"/>
      <c r="J9" s="10"/>
      <c r="K9" s="10"/>
      <c r="L9" s="10"/>
      <c r="M9" s="11"/>
      <c r="N9" s="12"/>
      <c r="O9" s="11"/>
      <c r="P9" s="11"/>
      <c r="Q9" s="11"/>
    </row>
    <row r="10" spans="1:20">
      <c r="A10" s="8" t="s">
        <v>41</v>
      </c>
      <c r="B10" s="9">
        <v>2027881837</v>
      </c>
      <c r="C10" s="8">
        <v>556928859</v>
      </c>
      <c r="D10" s="10">
        <v>25.7</v>
      </c>
      <c r="E10" s="10">
        <v>17.5</v>
      </c>
      <c r="F10" s="10">
        <v>30.1</v>
      </c>
      <c r="G10" s="11">
        <f t="shared" ref="G10:G17" si="1">D10*E10*F10/1000000</f>
        <v>1.3537475E-2</v>
      </c>
      <c r="H10" s="8">
        <v>3080</v>
      </c>
      <c r="I10" s="11">
        <f t="shared" ref="I10:I12" si="2">G10*H10</f>
        <v>41.695422999999998</v>
      </c>
      <c r="J10" s="10">
        <f t="shared" ref="J10:J12" si="3">R10/10</f>
        <v>109.2</v>
      </c>
      <c r="K10" s="10">
        <f t="shared" ref="K10:K12" si="4">S10/10</f>
        <v>91.5</v>
      </c>
      <c r="L10" s="10">
        <f t="shared" ref="L10:L12" si="5">T10/10</f>
        <v>124</v>
      </c>
      <c r="M10" s="11">
        <f t="shared" ref="M10:M12" si="6">J10*K10*L10/1000000</f>
        <v>1.2389832000000003</v>
      </c>
      <c r="N10" s="12">
        <v>35</v>
      </c>
      <c r="O10" s="11">
        <f t="shared" ref="O10:O12" si="7">M10*N10</f>
        <v>43.364412000000009</v>
      </c>
      <c r="P10" s="87" t="s">
        <v>23</v>
      </c>
      <c r="Q10" s="90">
        <v>44791</v>
      </c>
      <c r="R10">
        <v>1092</v>
      </c>
      <c r="S10">
        <v>915</v>
      </c>
      <c r="T10">
        <v>1240</v>
      </c>
    </row>
    <row r="11" spans="1:20">
      <c r="A11" s="8" t="s">
        <v>41</v>
      </c>
      <c r="B11" s="9">
        <v>2027881837</v>
      </c>
      <c r="C11" s="8">
        <v>578112065</v>
      </c>
      <c r="D11" s="10">
        <v>25.5</v>
      </c>
      <c r="E11" s="10">
        <v>12.5</v>
      </c>
      <c r="F11" s="10">
        <v>30.2</v>
      </c>
      <c r="G11" s="11">
        <f t="shared" si="1"/>
        <v>9.6262499999999994E-3</v>
      </c>
      <c r="H11" s="8">
        <v>128</v>
      </c>
      <c r="I11" s="11">
        <f t="shared" si="2"/>
        <v>1.2321599999999999</v>
      </c>
      <c r="J11" s="10">
        <f t="shared" si="3"/>
        <v>115</v>
      </c>
      <c r="K11" s="10">
        <f t="shared" si="4"/>
        <v>95</v>
      </c>
      <c r="L11" s="10">
        <f t="shared" si="5"/>
        <v>124</v>
      </c>
      <c r="M11" s="11">
        <f t="shared" si="6"/>
        <v>1.3547</v>
      </c>
      <c r="N11" s="12">
        <v>1</v>
      </c>
      <c r="O11" s="11">
        <f t="shared" si="7"/>
        <v>1.3547</v>
      </c>
      <c r="P11" s="89"/>
      <c r="Q11" s="89"/>
      <c r="R11">
        <v>1150</v>
      </c>
      <c r="S11">
        <v>950</v>
      </c>
      <c r="T11">
        <v>1240</v>
      </c>
    </row>
    <row r="12" spans="1:20">
      <c r="A12" s="8" t="s">
        <v>41</v>
      </c>
      <c r="B12" s="9">
        <v>2027881837</v>
      </c>
      <c r="C12" s="8">
        <v>572522682</v>
      </c>
      <c r="D12" s="10">
        <v>34.5</v>
      </c>
      <c r="E12" s="10">
        <v>32</v>
      </c>
      <c r="F12" s="10">
        <v>25.5</v>
      </c>
      <c r="G12" s="11">
        <f t="shared" si="1"/>
        <v>2.8152E-2</v>
      </c>
      <c r="H12" s="8">
        <v>540</v>
      </c>
      <c r="I12" s="11">
        <f t="shared" si="2"/>
        <v>15.20208</v>
      </c>
      <c r="J12" s="10">
        <f t="shared" si="3"/>
        <v>104.14000000000001</v>
      </c>
      <c r="K12" s="10">
        <f t="shared" si="4"/>
        <v>96.52</v>
      </c>
      <c r="L12" s="10">
        <f t="shared" si="5"/>
        <v>128.27000000000004</v>
      </c>
      <c r="M12" s="11">
        <f t="shared" si="6"/>
        <v>1.2893178084560004</v>
      </c>
      <c r="N12" s="12">
        <v>12</v>
      </c>
      <c r="O12" s="11">
        <f t="shared" si="7"/>
        <v>15.471813701472005</v>
      </c>
      <c r="P12" s="88"/>
      <c r="Q12" s="88"/>
      <c r="R12">
        <v>1041.4000000000001</v>
      </c>
      <c r="S12">
        <v>965.19999999999993</v>
      </c>
      <c r="T12">
        <v>1282.7000000000003</v>
      </c>
    </row>
    <row r="13" spans="1:20">
      <c r="A13" s="8"/>
      <c r="B13" s="9"/>
      <c r="C13" s="8"/>
      <c r="D13" s="10"/>
      <c r="E13" s="10"/>
      <c r="F13" s="10"/>
      <c r="G13" s="11"/>
      <c r="H13" s="8"/>
      <c r="I13" s="11"/>
      <c r="J13" s="10"/>
      <c r="K13" s="10"/>
      <c r="L13" s="10"/>
      <c r="M13" s="11"/>
      <c r="N13" s="12"/>
      <c r="O13" s="11"/>
      <c r="P13" s="11"/>
      <c r="Q13" s="11"/>
    </row>
    <row r="14" spans="1:20">
      <c r="A14" s="8"/>
      <c r="B14" s="9"/>
      <c r="C14" s="8"/>
      <c r="D14" s="10"/>
      <c r="E14" s="10"/>
      <c r="F14" s="10"/>
      <c r="G14" s="11"/>
      <c r="H14" s="8"/>
      <c r="I14" s="11"/>
      <c r="J14" s="10"/>
      <c r="K14" s="10"/>
      <c r="L14" s="10"/>
      <c r="M14" s="11"/>
      <c r="N14" s="12"/>
      <c r="O14" s="11"/>
      <c r="P14" s="11"/>
      <c r="Q14" s="11"/>
    </row>
    <row r="15" spans="1:20">
      <c r="A15" s="8"/>
      <c r="B15" s="9"/>
      <c r="C15" s="8"/>
      <c r="D15" s="10"/>
      <c r="E15" s="10"/>
      <c r="F15" s="10"/>
      <c r="G15" s="11"/>
      <c r="H15" s="8"/>
      <c r="I15" s="11"/>
      <c r="J15" s="10"/>
      <c r="K15" s="10"/>
      <c r="L15" s="10"/>
      <c r="M15" s="11"/>
      <c r="N15" s="12"/>
      <c r="O15" s="11"/>
      <c r="P15" s="11"/>
      <c r="Q15" s="11"/>
    </row>
    <row r="16" spans="1:20">
      <c r="A16" s="8" t="s">
        <v>41</v>
      </c>
      <c r="B16" s="9">
        <v>2027881837</v>
      </c>
      <c r="C16" s="8">
        <v>572522682</v>
      </c>
      <c r="D16" s="10">
        <v>34.5</v>
      </c>
      <c r="E16" s="10">
        <v>32</v>
      </c>
      <c r="F16" s="10">
        <v>25.5</v>
      </c>
      <c r="G16" s="11">
        <f t="shared" si="1"/>
        <v>2.8152E-2</v>
      </c>
      <c r="H16" s="8">
        <v>1305</v>
      </c>
      <c r="I16" s="11">
        <f t="shared" ref="I16:I17" si="8">G16*H16</f>
        <v>36.73836</v>
      </c>
      <c r="J16" s="10">
        <f t="shared" ref="J16:J17" si="9">R16/10</f>
        <v>104.14000000000001</v>
      </c>
      <c r="K16" s="10">
        <f t="shared" ref="K16:K17" si="10">S16/10</f>
        <v>96.52</v>
      </c>
      <c r="L16" s="10">
        <f t="shared" ref="L16:L17" si="11">T16/10</f>
        <v>128.27000000000004</v>
      </c>
      <c r="M16" s="11">
        <f t="shared" ref="M16:M17" si="12">J16*K16*L16/1000000</f>
        <v>1.2893178084560004</v>
      </c>
      <c r="N16" s="12">
        <v>29</v>
      </c>
      <c r="O16" s="11">
        <f t="shared" ref="O16:O17" si="13">M16*N16</f>
        <v>37.390216445224013</v>
      </c>
      <c r="P16" s="87" t="s">
        <v>23</v>
      </c>
      <c r="Q16" s="90">
        <v>44791</v>
      </c>
      <c r="R16">
        <v>1041.4000000000001</v>
      </c>
      <c r="S16">
        <v>965.19999999999993</v>
      </c>
      <c r="T16">
        <v>1282.7000000000003</v>
      </c>
    </row>
    <row r="17" spans="1:20">
      <c r="A17" s="8" t="s">
        <v>41</v>
      </c>
      <c r="B17" s="9">
        <v>2027881837</v>
      </c>
      <c r="C17" s="8">
        <v>577088561</v>
      </c>
      <c r="D17" s="10">
        <v>34.299999999999997</v>
      </c>
      <c r="E17" s="10">
        <v>31.8</v>
      </c>
      <c r="F17" s="10">
        <v>25.9</v>
      </c>
      <c r="G17" s="11">
        <f t="shared" si="1"/>
        <v>2.8250165999999997E-2</v>
      </c>
      <c r="H17" s="8">
        <v>855</v>
      </c>
      <c r="I17" s="11">
        <f t="shared" si="8"/>
        <v>24.153891929999997</v>
      </c>
      <c r="J17" s="10">
        <f t="shared" si="9"/>
        <v>104.14000000000001</v>
      </c>
      <c r="K17" s="10">
        <f t="shared" si="10"/>
        <v>97.79</v>
      </c>
      <c r="L17" s="10">
        <f t="shared" si="11"/>
        <v>128.27000000000004</v>
      </c>
      <c r="M17" s="11">
        <f t="shared" si="12"/>
        <v>1.3062825164620004</v>
      </c>
      <c r="N17" s="12">
        <v>19</v>
      </c>
      <c r="O17" s="11">
        <f t="shared" si="13"/>
        <v>24.819367812778008</v>
      </c>
      <c r="P17" s="88"/>
      <c r="Q17" s="88"/>
      <c r="R17">
        <v>1041.4000000000001</v>
      </c>
      <c r="S17">
        <v>977.90000000000009</v>
      </c>
      <c r="T17">
        <v>1282.7000000000003</v>
      </c>
    </row>
    <row r="18" spans="1:20">
      <c r="A18" s="8"/>
      <c r="B18" s="9"/>
      <c r="C18" s="8"/>
      <c r="D18" s="10"/>
      <c r="E18" s="10"/>
      <c r="F18" s="10"/>
      <c r="G18" s="11"/>
      <c r="H18" s="8"/>
      <c r="I18" s="11"/>
      <c r="J18" s="10"/>
      <c r="K18" s="10"/>
      <c r="L18" s="10"/>
      <c r="M18" s="11"/>
      <c r="N18" s="12"/>
      <c r="O18" s="11"/>
      <c r="P18" s="5"/>
      <c r="Q18" s="5"/>
    </row>
    <row r="19" spans="1:20">
      <c r="A19" s="8"/>
      <c r="B19" s="9"/>
      <c r="C19" s="8"/>
      <c r="D19" s="10"/>
      <c r="E19" s="10"/>
      <c r="F19" s="10"/>
      <c r="G19" s="11"/>
      <c r="H19" s="8"/>
      <c r="I19" s="11"/>
      <c r="J19" s="10"/>
      <c r="K19" s="10"/>
      <c r="L19" s="10"/>
      <c r="M19" s="11"/>
      <c r="N19" s="12"/>
      <c r="O19" s="11"/>
      <c r="P19" s="5"/>
      <c r="Q19" s="5"/>
    </row>
    <row r="20" spans="1:20">
      <c r="A20" s="8" t="s">
        <v>41</v>
      </c>
      <c r="B20" s="9">
        <v>2027881837</v>
      </c>
      <c r="C20" s="8">
        <v>579037110</v>
      </c>
      <c r="D20" s="4">
        <v>26.1</v>
      </c>
      <c r="E20" s="4">
        <v>18.7</v>
      </c>
      <c r="F20" s="4">
        <v>31.2</v>
      </c>
      <c r="G20" s="11">
        <f t="shared" ref="G20:G22" si="14">D20*E20*F20/1000000</f>
        <v>1.5227783999999999E-2</v>
      </c>
      <c r="H20" s="8">
        <v>528</v>
      </c>
      <c r="I20" s="11">
        <f t="shared" ref="I20:I22" si="15">G20*H20</f>
        <v>8.0402699519999992</v>
      </c>
      <c r="J20" s="10">
        <f t="shared" ref="J20:J22" si="16">R20/10</f>
        <v>105</v>
      </c>
      <c r="K20" s="10">
        <f t="shared" ref="K20:K22" si="17">S20/10</f>
        <v>96</v>
      </c>
      <c r="L20" s="10">
        <f t="shared" ref="L20:L22" si="18">T20/10</f>
        <v>95</v>
      </c>
      <c r="M20" s="11">
        <f t="shared" ref="M20:M22" si="19">J20*K20*L20/1000000</f>
        <v>0.95760000000000001</v>
      </c>
      <c r="N20" s="12">
        <v>8</v>
      </c>
      <c r="O20" s="11">
        <f t="shared" ref="O20:O22" si="20">M20*N20</f>
        <v>7.6608000000000001</v>
      </c>
      <c r="P20" s="87" t="s">
        <v>23</v>
      </c>
      <c r="Q20" s="90">
        <v>44791</v>
      </c>
      <c r="R20">
        <v>1050</v>
      </c>
      <c r="S20">
        <v>960</v>
      </c>
      <c r="T20">
        <v>950</v>
      </c>
    </row>
    <row r="21" spans="1:20">
      <c r="A21" s="8" t="s">
        <v>41</v>
      </c>
      <c r="B21" s="9">
        <v>2027881837</v>
      </c>
      <c r="C21" s="8">
        <v>576345787</v>
      </c>
      <c r="D21" s="4">
        <v>20.100000000000001</v>
      </c>
      <c r="E21" s="4">
        <v>17.399999999999999</v>
      </c>
      <c r="F21" s="4">
        <v>22.5</v>
      </c>
      <c r="G21" s="11">
        <f t="shared" si="14"/>
        <v>7.8691500000000001E-3</v>
      </c>
      <c r="H21" s="8">
        <v>3100</v>
      </c>
      <c r="I21" s="11">
        <f t="shared" si="15"/>
        <v>24.394365000000001</v>
      </c>
      <c r="J21" s="10">
        <f t="shared" si="16"/>
        <v>105</v>
      </c>
      <c r="K21" s="10">
        <f t="shared" si="17"/>
        <v>90</v>
      </c>
      <c r="L21" s="10">
        <f t="shared" si="18"/>
        <v>94</v>
      </c>
      <c r="M21" s="11">
        <f t="shared" si="19"/>
        <v>0.88829999999999998</v>
      </c>
      <c r="N21" s="12">
        <v>31</v>
      </c>
      <c r="O21" s="11">
        <f t="shared" si="20"/>
        <v>27.537299999999998</v>
      </c>
      <c r="P21" s="89"/>
      <c r="Q21" s="89"/>
      <c r="R21">
        <v>1050</v>
      </c>
      <c r="S21">
        <v>900</v>
      </c>
      <c r="T21">
        <v>940</v>
      </c>
    </row>
    <row r="22" spans="1:20">
      <c r="A22" s="8" t="s">
        <v>41</v>
      </c>
      <c r="B22" s="9">
        <v>2027881837</v>
      </c>
      <c r="C22" s="8">
        <v>564988471</v>
      </c>
      <c r="D22" s="4">
        <v>28.5</v>
      </c>
      <c r="E22" s="4">
        <v>19</v>
      </c>
      <c r="F22" s="4">
        <v>29.5</v>
      </c>
      <c r="G22" s="11">
        <f t="shared" si="14"/>
        <v>1.5974249999999999E-2</v>
      </c>
      <c r="H22" s="8">
        <v>540</v>
      </c>
      <c r="I22" s="11">
        <f t="shared" si="15"/>
        <v>8.6260949999999994</v>
      </c>
      <c r="J22" s="10">
        <f t="shared" si="16"/>
        <v>112</v>
      </c>
      <c r="K22" s="10">
        <f t="shared" si="17"/>
        <v>95</v>
      </c>
      <c r="L22" s="10">
        <f t="shared" si="18"/>
        <v>90</v>
      </c>
      <c r="M22" s="11">
        <f t="shared" si="19"/>
        <v>0.95760000000000001</v>
      </c>
      <c r="N22" s="12">
        <v>9</v>
      </c>
      <c r="O22" s="11">
        <f t="shared" si="20"/>
        <v>8.6183999999999994</v>
      </c>
      <c r="P22" s="88"/>
      <c r="Q22" s="88"/>
      <c r="R22">
        <v>1120</v>
      </c>
      <c r="S22">
        <v>950</v>
      </c>
      <c r="T22">
        <v>900</v>
      </c>
    </row>
    <row r="23" spans="1:20">
      <c r="A23" s="8"/>
      <c r="B23" s="9"/>
      <c r="C23" s="8"/>
      <c r="D23" s="10"/>
      <c r="E23" s="10"/>
      <c r="F23" s="10"/>
      <c r="G23" s="11"/>
      <c r="H23" s="8"/>
      <c r="I23" s="11"/>
      <c r="J23" s="10"/>
      <c r="K23" s="10"/>
      <c r="L23" s="10"/>
      <c r="M23" s="11"/>
      <c r="N23" s="12"/>
      <c r="O23" s="11"/>
      <c r="P23" s="5"/>
      <c r="Q23" s="5"/>
    </row>
    <row r="24" spans="1:20">
      <c r="A24" s="8"/>
      <c r="B24" s="9"/>
      <c r="C24" s="8"/>
      <c r="D24" s="10"/>
      <c r="E24" s="10"/>
      <c r="F24" s="10"/>
      <c r="G24" s="11"/>
      <c r="H24" s="8"/>
      <c r="I24" s="11"/>
      <c r="J24" s="10"/>
      <c r="K24" s="10"/>
      <c r="L24" s="10"/>
      <c r="M24" s="11"/>
      <c r="N24" s="12"/>
      <c r="O24" s="11"/>
      <c r="P24" s="5"/>
      <c r="Q24" s="5"/>
    </row>
    <row r="25" spans="1:20">
      <c r="A25" s="8" t="s">
        <v>41</v>
      </c>
      <c r="B25" s="9">
        <v>2027881837</v>
      </c>
      <c r="C25" s="8">
        <v>595466280</v>
      </c>
      <c r="D25" s="4">
        <v>23</v>
      </c>
      <c r="E25" s="4">
        <v>22</v>
      </c>
      <c r="F25" s="4">
        <v>29</v>
      </c>
      <c r="G25" s="11">
        <f t="shared" ref="G25:G27" si="21">D25*E25*F25/1000000</f>
        <v>1.4674E-2</v>
      </c>
      <c r="H25" s="8">
        <v>1140</v>
      </c>
      <c r="I25" s="11">
        <f t="shared" ref="I25:I27" si="22">G25*H25</f>
        <v>16.728359999999999</v>
      </c>
      <c r="J25" s="10">
        <f t="shared" ref="J25:J27" si="23">R25/10</f>
        <v>110</v>
      </c>
      <c r="K25" s="10">
        <f t="shared" ref="K25:K27" si="24">S25/10</f>
        <v>92</v>
      </c>
      <c r="L25" s="10">
        <f t="shared" ref="L25:L27" si="25">T25/10</f>
        <v>87</v>
      </c>
      <c r="M25" s="11">
        <f t="shared" ref="M25:M27" si="26">J25*K25*L25/1000000</f>
        <v>0.88044</v>
      </c>
      <c r="N25" s="12">
        <v>19</v>
      </c>
      <c r="O25" s="11">
        <f t="shared" ref="O25:O27" si="27">M25*N25</f>
        <v>16.728359999999999</v>
      </c>
      <c r="P25" s="87" t="s">
        <v>23</v>
      </c>
      <c r="Q25" s="90">
        <v>44791</v>
      </c>
      <c r="R25">
        <v>1100</v>
      </c>
      <c r="S25">
        <v>920</v>
      </c>
      <c r="T25">
        <v>870</v>
      </c>
    </row>
    <row r="26" spans="1:20">
      <c r="A26" s="8" t="s">
        <v>41</v>
      </c>
      <c r="B26" s="9">
        <v>2027881837</v>
      </c>
      <c r="C26" s="8">
        <v>595487226</v>
      </c>
      <c r="D26" s="4">
        <v>33.5</v>
      </c>
      <c r="E26" s="4">
        <v>27.5</v>
      </c>
      <c r="F26" s="4">
        <v>8</v>
      </c>
      <c r="G26" s="11">
        <f t="shared" si="21"/>
        <v>7.3699999999999998E-3</v>
      </c>
      <c r="H26" s="8">
        <v>924</v>
      </c>
      <c r="I26" s="11">
        <f t="shared" si="22"/>
        <v>6.8098799999999997</v>
      </c>
      <c r="J26" s="10">
        <f t="shared" si="23"/>
        <v>109.22</v>
      </c>
      <c r="K26" s="10">
        <f t="shared" si="24"/>
        <v>96.52</v>
      </c>
      <c r="L26" s="10">
        <f t="shared" si="25"/>
        <v>111.76000000000002</v>
      </c>
      <c r="M26" s="11">
        <f t="shared" si="26"/>
        <v>1.1781643533440003</v>
      </c>
      <c r="N26" s="12">
        <v>6</v>
      </c>
      <c r="O26" s="11">
        <f t="shared" si="27"/>
        <v>7.0689861200640021</v>
      </c>
      <c r="P26" s="89"/>
      <c r="Q26" s="89"/>
      <c r="R26">
        <v>1092.2</v>
      </c>
      <c r="S26">
        <v>965.19999999999993</v>
      </c>
      <c r="T26">
        <v>1117.6000000000001</v>
      </c>
    </row>
    <row r="27" spans="1:20">
      <c r="A27" s="8" t="s">
        <v>41</v>
      </c>
      <c r="B27" s="9">
        <v>2027882264</v>
      </c>
      <c r="C27" s="8">
        <v>574663392</v>
      </c>
      <c r="D27" s="4">
        <v>34.4</v>
      </c>
      <c r="E27" s="4">
        <v>26.6</v>
      </c>
      <c r="F27" s="4">
        <v>25.9</v>
      </c>
      <c r="G27" s="11">
        <f t="shared" si="21"/>
        <v>2.3699535999999997E-2</v>
      </c>
      <c r="H27" s="8">
        <v>1265</v>
      </c>
      <c r="I27" s="11">
        <f t="shared" si="22"/>
        <v>29.979913039999996</v>
      </c>
      <c r="J27" s="10">
        <f t="shared" si="23"/>
        <v>107.95000000000002</v>
      </c>
      <c r="K27" s="10">
        <f t="shared" si="24"/>
        <v>96.52</v>
      </c>
      <c r="L27" s="10">
        <f t="shared" si="25"/>
        <v>128.27000000000004</v>
      </c>
      <c r="M27" s="11">
        <f t="shared" si="26"/>
        <v>1.3364879721800005</v>
      </c>
      <c r="N27" s="12">
        <v>23</v>
      </c>
      <c r="O27" s="11">
        <f t="shared" si="27"/>
        <v>30.739223360140009</v>
      </c>
      <c r="P27" s="88"/>
      <c r="Q27" s="88"/>
      <c r="R27">
        <v>1079.5000000000002</v>
      </c>
      <c r="S27">
        <v>965.19999999999993</v>
      </c>
      <c r="T27">
        <v>1282.7000000000003</v>
      </c>
    </row>
    <row r="28" spans="1:20">
      <c r="A28" s="8"/>
      <c r="B28" s="9"/>
      <c r="C28" s="8"/>
      <c r="D28" s="10"/>
      <c r="E28" s="10"/>
      <c r="F28" s="10"/>
      <c r="G28" s="11"/>
      <c r="H28" s="8"/>
      <c r="I28" s="11"/>
      <c r="J28" s="10"/>
      <c r="K28" s="10"/>
      <c r="L28" s="10"/>
      <c r="M28" s="11"/>
      <c r="N28" s="12"/>
      <c r="O28" s="11"/>
      <c r="P28" s="5"/>
      <c r="Q28" s="13"/>
    </row>
    <row r="29" spans="1:20">
      <c r="A29" s="8"/>
      <c r="B29" s="9"/>
      <c r="C29" s="8"/>
      <c r="D29" s="10"/>
      <c r="E29" s="10"/>
      <c r="F29" s="10"/>
      <c r="G29" s="11"/>
      <c r="H29" s="8"/>
      <c r="I29" s="11"/>
      <c r="J29" s="10"/>
      <c r="K29" s="10"/>
      <c r="L29" s="10"/>
      <c r="M29" s="11"/>
      <c r="N29" s="12"/>
      <c r="O29" s="11"/>
      <c r="P29" s="13"/>
      <c r="Q29" s="13"/>
    </row>
    <row r="30" spans="1:20">
      <c r="A30" s="8"/>
      <c r="B30" s="9"/>
      <c r="C30" s="8"/>
      <c r="D30" s="10"/>
      <c r="E30" s="10"/>
      <c r="F30" s="10"/>
      <c r="G30" s="11"/>
      <c r="H30" s="8"/>
      <c r="I30" s="11"/>
      <c r="J30" s="10"/>
      <c r="K30" s="10"/>
      <c r="L30" s="10"/>
      <c r="M30" s="11"/>
      <c r="N30" s="12"/>
      <c r="O30" s="11"/>
      <c r="P30" s="13"/>
      <c r="Q30" s="13"/>
    </row>
    <row r="31" spans="1:20">
      <c r="A31" s="8"/>
      <c r="B31" s="8"/>
      <c r="C31" s="8"/>
      <c r="D31" s="8"/>
      <c r="E31" s="8"/>
      <c r="F31" s="14" t="s">
        <v>42</v>
      </c>
      <c r="G31" s="14"/>
      <c r="H31" s="14">
        <f>SUM(H6:H30)</f>
        <v>16045</v>
      </c>
      <c r="I31" s="15">
        <f>SUM(I6:I30)</f>
        <v>276.16757296199995</v>
      </c>
      <c r="J31" s="8"/>
      <c r="K31" s="8"/>
      <c r="L31" s="14" t="s">
        <v>42</v>
      </c>
      <c r="M31" s="15">
        <f>SUM(M6:M30)</f>
        <v>14.013681631078001</v>
      </c>
      <c r="N31" s="14">
        <f>SUM(N6:N30)</f>
        <v>240</v>
      </c>
      <c r="O31" s="15">
        <f>SUM(O6:O30)</f>
        <v>284.90500210431804</v>
      </c>
      <c r="P31" s="8"/>
      <c r="Q31" s="8"/>
    </row>
  </sheetData>
  <mergeCells count="21">
    <mergeCell ref="H4:H5"/>
    <mergeCell ref="A4:A5"/>
    <mergeCell ref="B4:B5"/>
    <mergeCell ref="C4:C5"/>
    <mergeCell ref="D4:F4"/>
    <mergeCell ref="G4:G5"/>
    <mergeCell ref="Q4:Q5"/>
    <mergeCell ref="P10:P12"/>
    <mergeCell ref="I4:I5"/>
    <mergeCell ref="J4:L4"/>
    <mergeCell ref="M4:M5"/>
    <mergeCell ref="N4:N5"/>
    <mergeCell ref="O4:O5"/>
    <mergeCell ref="P4:P5"/>
    <mergeCell ref="P16:P17"/>
    <mergeCell ref="P20:P22"/>
    <mergeCell ref="P25:P27"/>
    <mergeCell ref="Q10:Q12"/>
    <mergeCell ref="Q16:Q17"/>
    <mergeCell ref="Q20:Q22"/>
    <mergeCell ref="Q25:Q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CLR format</vt:lpstr>
      <vt:lpstr>S-sheet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2026-04-04T11:22:55Z</dcterms:modified>
</cp:coreProperties>
</file>